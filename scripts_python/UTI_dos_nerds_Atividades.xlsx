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OES" sheetId="1" r:id="rId5"/>
    <sheet state="visible" name="PLANO_CONTAS" sheetId="2" r:id="rId6"/>
    <sheet state="visible" name="LANCAMENTOS" sheetId="3" r:id="rId7"/>
    <sheet state="visible" name="DRE" sheetId="4" r:id="rId8"/>
    <sheet state="visible" name="BALANCO_PATRIMONIAL" sheetId="5" r:id="rId9"/>
    <sheet state="visible" name="INDICES_FINANCEIROS" sheetId="6" r:id="rId10"/>
    <sheet state="visible" name="BALANCETE" sheetId="7" r:id="rId11"/>
    <sheet state="visible" name="ANALISE_E_GRAFICOS" sheetId="8" r:id="rId12"/>
  </sheets>
  <definedNames/>
  <calcPr/>
</workbook>
</file>

<file path=xl/sharedStrings.xml><?xml version="1.0" encoding="utf-8"?>
<sst xmlns="http://schemas.openxmlformats.org/spreadsheetml/2006/main" count="759" uniqueCount="426">
  <si>
    <t>INFORMAÇÃO CONTÁBIL APLICADA À GESTÃO – UFAL Penedo</t>
  </si>
  <si>
    <t>Exercício Continuado – NexusTech Penedo Soluções Digitais Ltda.</t>
  </si>
  <si>
    <t>PROFESSOR</t>
  </si>
  <si>
    <t>Prof. Dr. Valber Gregory Barbosa Costa Bezerra Santos</t>
  </si>
  <si>
    <t>E-MAIL</t>
  </si>
  <si>
    <t>valber.santos@penedo.ufal.br</t>
  </si>
  <si>
    <t>DISCIPLINA</t>
  </si>
  <si>
    <t>SISB090 – Informação Contábil para Gestão</t>
  </si>
  <si>
    <t>PERÍODO</t>
  </si>
  <si>
    <t>2026.1 – UFAL, Unidade Penedo</t>
  </si>
  <si>
    <t>PRAZO FINAL</t>
  </si>
  <si>
    <t>22/06/2026</t>
  </si>
  <si>
    <t>OBJETIVO</t>
  </si>
  <si>
    <t>Registrar todos os lançamentos contábeis da NexusTech nos Meses 1, 2 e 3,
elaborar os demonstrativos financeiros e calcular os índices.</t>
  </si>
  <si>
    <t>📅  CRONOGRAMA DE ENTREGAS</t>
  </si>
  <si>
    <t>ENTREGA</t>
  </si>
  <si>
    <t>DESCRIÇÃO</t>
  </si>
  <si>
    <t>PRAZO</t>
  </si>
  <si>
    <t>FORMATO</t>
  </si>
  <si>
    <t>Entrega 1</t>
  </si>
  <si>
    <t>Contrato Social simplificado da sua empresa</t>
  </si>
  <si>
    <t>PDF/Word</t>
  </si>
  <si>
    <t>Entrega 2</t>
  </si>
  <si>
    <t>Planilha de lançamentos Mês 1 (mín. 10 transações) + Balancete</t>
  </si>
  <si>
    <t>Esta planilha</t>
  </si>
  <si>
    <t>Entrega 3</t>
  </si>
  <si>
    <t>DRE e BP do Mês 1 + indicadores calculados</t>
  </si>
  <si>
    <t>Aba desta planilha</t>
  </si>
  <si>
    <t>Entrega 4</t>
  </si>
  <si>
    <t>Planilha atualizada Mês 2 + análise comparativa Mês 1 vs. Mês 2</t>
  </si>
  <si>
    <t>Entrega 5</t>
  </si>
  <si>
    <t>Script Python + Banco de Dados SQLite (Aula 12)</t>
  </si>
  <si>
    <t>Pasta .zip</t>
  </si>
  <si>
    <t>Entrega 6</t>
  </si>
  <si>
    <t>Sistema Contábil-Financeiro Python (Aula 13)</t>
  </si>
  <si>
    <t>Entrega 7</t>
  </si>
  <si>
    <t>Relatório Financeiro Final PDF + análise escrita (Aula 14)</t>
  </si>
  <si>
    <t>PDF + .zip</t>
  </si>
  <si>
    <t>🎨  LEGENDA DE CORES</t>
  </si>
  <si>
    <t xml:space="preserve">  Exemplo  </t>
  </si>
  <si>
    <t>Células AZUIS em fundo AMARELO → Você deve preencher (input do aluno)</t>
  </si>
  <si>
    <t>Células com fundo BRANCO e texto PRETO → Fórmulas automáticas</t>
  </si>
  <si>
    <t>Células em fundo VERDE → Resultado / Saldo final</t>
  </si>
  <si>
    <t>Células em fundo ROSA/VERMELHO → Atenção / Verificar</t>
  </si>
  <si>
    <t>Células em fundo AZUL CLARO → Subtotais e totais</t>
  </si>
  <si>
    <t>PLANO DE CONTAS SIMPLIFICADO – NexusTech</t>
  </si>
  <si>
    <t>Use EXATAMENTE estes nomes nas colunas conta_debito e conta_credito da planilha de lançamentos</t>
  </si>
  <si>
    <t>Código</t>
  </si>
  <si>
    <t>Conta (nome exato)</t>
  </si>
  <si>
    <t>Natureza</t>
  </si>
  <si>
    <t>Tipo Saldo</t>
  </si>
  <si>
    <t>Grupo na DRE/BP</t>
  </si>
  <si>
    <t>1.1.01</t>
  </si>
  <si>
    <t>Caixa</t>
  </si>
  <si>
    <t>Ativo Circulante</t>
  </si>
  <si>
    <t>Devedor</t>
  </si>
  <si>
    <t>BP – Ativo</t>
  </si>
  <si>
    <t>1.1.02</t>
  </si>
  <si>
    <t>Banco</t>
  </si>
  <si>
    <t>1.1.03</t>
  </si>
  <si>
    <t>Clientes</t>
  </si>
  <si>
    <t>1.1.04</t>
  </si>
  <si>
    <t>Adiantamentos</t>
  </si>
  <si>
    <t>1.2.01</t>
  </si>
  <si>
    <t>Equipamentos de TI</t>
  </si>
  <si>
    <t>Ativo Não Circulante</t>
  </si>
  <si>
    <t>1.2.02</t>
  </si>
  <si>
    <t>Moveis e Utensilios</t>
  </si>
  <si>
    <t>1.2.03</t>
  </si>
  <si>
    <t>Depreciacao Acumulada</t>
  </si>
  <si>
    <t>Credor</t>
  </si>
  <si>
    <t>BP – Ativo (Retificadora)</t>
  </si>
  <si>
    <t>2.1.01</t>
  </si>
  <si>
    <t>DAS a Recolher</t>
  </si>
  <si>
    <t>Passivo Circulante</t>
  </si>
  <si>
    <t>BP – Passivo</t>
  </si>
  <si>
    <t>2.1.02</t>
  </si>
  <si>
    <t>FGTS a Recolher</t>
  </si>
  <si>
    <t>2.1.03</t>
  </si>
  <si>
    <t>INSS a Recolher</t>
  </si>
  <si>
    <t>2.1.04</t>
  </si>
  <si>
    <t>Salarios a Pagar</t>
  </si>
  <si>
    <t>2.1.05</t>
  </si>
  <si>
    <t>Fornecedores</t>
  </si>
  <si>
    <t>2.1.06</t>
  </si>
  <si>
    <t>Alugueis a Pagar</t>
  </si>
  <si>
    <t>3.1.01</t>
  </si>
  <si>
    <t>Capital Social</t>
  </si>
  <si>
    <t>Patrimônio Líquido</t>
  </si>
  <si>
    <t>BP – PL</t>
  </si>
  <si>
    <t>3.2.01</t>
  </si>
  <si>
    <t>Lucros Acumulados</t>
  </si>
  <si>
    <t>4.1.01</t>
  </si>
  <si>
    <t>Rec. Servicos</t>
  </si>
  <si>
    <t>Resultado – Receita</t>
  </si>
  <si>
    <t>DRE – Receita</t>
  </si>
  <si>
    <t>5.1.01</t>
  </si>
  <si>
    <t>Desp. Salarios</t>
  </si>
  <si>
    <t>Resultado – Despesa</t>
  </si>
  <si>
    <t>DRE – Despesa Oper.</t>
  </si>
  <si>
    <t>5.1.02</t>
  </si>
  <si>
    <t>Desp. FGTS</t>
  </si>
  <si>
    <t>5.1.03</t>
  </si>
  <si>
    <t>Desp. INSS Patronal</t>
  </si>
  <si>
    <t>5.1.04</t>
  </si>
  <si>
    <t>Desp. Pro-labore</t>
  </si>
  <si>
    <t>5.1.05</t>
  </si>
  <si>
    <t>Desp. Aluguel</t>
  </si>
  <si>
    <t>5.1.06</t>
  </si>
  <si>
    <t>Desp. Telecom</t>
  </si>
  <si>
    <t>5.1.07</t>
  </si>
  <si>
    <t>Desp. Mat. Escritorio</t>
  </si>
  <si>
    <t>5.1.08</t>
  </si>
  <si>
    <t>Desp. Depreciacao</t>
  </si>
  <si>
    <t>5.1.09</t>
  </si>
  <si>
    <t>Desp. Tributos</t>
  </si>
  <si>
    <t>DRE – Deduções</t>
  </si>
  <si>
    <t>5.1.10</t>
  </si>
  <si>
    <t>Desp. Pre-operacional</t>
  </si>
  <si>
    <t>DIÁRIO DE LANÇAMENTOS – NexusTech Penedo Soluções Digitais Ltda.</t>
  </si>
  <si>
    <t>⚠  REGRAS: (1) Preencha apenas células em AZUL/AMARELO  (2) Nomes de contas IDÊNTICOS ao Plano de Contas  (3) Datas: DD/MM/AAAA  (4) Valores: números sem R$ ou vírgula</t>
  </si>
  <si>
    <t>Mês</t>
  </si>
  <si>
    <t>N.º Lanç.</t>
  </si>
  <si>
    <t>Data</t>
  </si>
  <si>
    <t>Doc.</t>
  </si>
  <si>
    <t>Descrição</t>
  </si>
  <si>
    <t>Conta Débito</t>
  </si>
  <si>
    <t>Conta Crédito</t>
  </si>
  <si>
    <t>Valor (R$)</t>
  </si>
  <si>
    <t>Histórico</t>
  </si>
  <si>
    <t>◆  MÊS 1 – UTI dos Nerds Ltda.</t>
  </si>
  <si>
    <t>Mai</t>
  </si>
  <si>
    <t>01</t>
  </si>
  <si>
    <t>CS</t>
  </si>
  <si>
    <t>Integralização do capital (Bruno 50% / Sophia 50%)</t>
  </si>
  <si>
    <t>Bruno 50% + Sofia 50%</t>
  </si>
  <si>
    <t>02</t>
  </si>
  <si>
    <t>NF</t>
  </si>
  <si>
    <t>Compra de estoque (peças) e ferramentas (à vista)</t>
  </si>
  <si>
    <t>Nota Fiscal 001</t>
  </si>
  <si>
    <t>03</t>
  </si>
  <si>
    <t>02/05/2026</t>
  </si>
  <si>
    <t>RC</t>
  </si>
  <si>
    <t>Pagamento de aluguel da loja em Penedo/AL</t>
  </si>
  <si>
    <t>Contrato de locação</t>
  </si>
  <si>
    <t>04</t>
  </si>
  <si>
    <t>03/05/2026</t>
  </si>
  <si>
    <t>Pagamento taxas de abertura – Junta/Alvará</t>
  </si>
  <si>
    <t>Comprovante JUCAL</t>
  </si>
  <si>
    <t>05</t>
  </si>
  <si>
    <t>05/05/2026</t>
  </si>
  <si>
    <t>REC</t>
  </si>
  <si>
    <t>Venda de celulares e acessórios (à vista)</t>
  </si>
  <si>
    <t>Contrato Consultoria A</t>
  </si>
  <si>
    <t>06</t>
  </si>
  <si>
    <t>NFS</t>
  </si>
  <si>
    <t>Serviços de conserto de telas e placas (a prazo)</t>
  </si>
  <si>
    <t>NFS-e 0001 – venc. 10/06</t>
  </si>
  <si>
    <t>07</t>
  </si>
  <si>
    <t>31/05/2026</t>
  </si>
  <si>
    <t>FP</t>
  </si>
  <si>
    <t>Salário do funcionário técnico (CLT) – maio/2026</t>
  </si>
  <si>
    <t>Folha maio</t>
  </si>
  <si>
    <t>08</t>
  </si>
  <si>
    <t>FGTS sobre salário (8%) – maio/2026</t>
  </si>
  <si>
    <t>Guia FGTS maio</t>
  </si>
  <si>
    <t>09</t>
  </si>
  <si>
    <t>INSS patronal (20%) sobre salário – maio/2026</t>
  </si>
  <si>
    <t>GPS maio</t>
  </si>
  <si>
    <t>10</t>
  </si>
  <si>
    <t>Pró-labore de Sofia (administradora) – maio/2026</t>
  </si>
  <si>
    <t>Pró-labore líquido (desc. INSS 11%)</t>
  </si>
  <si>
    <t>10b</t>
  </si>
  <si>
    <t>INSS sobre pró-labore (11% sócio + 20% patronal)</t>
  </si>
  <si>
    <t>GPS pró-labore maio</t>
  </si>
  <si>
    <t>11</t>
  </si>
  <si>
    <t>Material de escritório – maio/2026</t>
  </si>
  <si>
    <t>NF material escritório</t>
  </si>
  <si>
    <t>12</t>
  </si>
  <si>
    <t>Internet + telefone – maio/2026</t>
  </si>
  <si>
    <t>Fatura telecom</t>
  </si>
  <si>
    <t>13</t>
  </si>
  <si>
    <t>15/05/2026</t>
  </si>
  <si>
    <t>Recebimento parcial – Cliente B (50%)</t>
  </si>
  <si>
    <t>TED recebida</t>
  </si>
  <si>
    <t>14</t>
  </si>
  <si>
    <t>GIA</t>
  </si>
  <si>
    <t>DAS – Simples Nacional apurado – maio/2026</t>
  </si>
  <si>
    <t>RB R$17.000 × 6%</t>
  </si>
  <si>
    <t>15</t>
  </si>
  <si>
    <t>AJ</t>
  </si>
  <si>
    <t>Depreciação equipamentos TI – maio/2026</t>
  </si>
  <si>
    <t>R$8.000÷60 meses</t>
  </si>
  <si>
    <t>◆  MÊS 2 –  UTI dos Nerds Ltda.</t>
  </si>
  <si>
    <t>Jun</t>
  </si>
  <si>
    <t>16</t>
  </si>
  <si>
    <t>05/06/2026</t>
  </si>
  <si>
    <t>NFS-e 0002</t>
  </si>
  <si>
    <t>17</t>
  </si>
  <si>
    <t>10/06/2026</t>
  </si>
  <si>
    <t>Receita – Cliente B (continuação projeto maio)</t>
  </si>
  <si>
    <t>NFS-e 0003</t>
  </si>
  <si>
    <t>15/05</t>
  </si>
  <si>
    <t>Recebimento saldo Cliente B – maio</t>
  </si>
  <si>
    <t>TED recebida saldo</t>
  </si>
  <si>
    <t>18</t>
  </si>
  <si>
    <t>30/06/2026</t>
  </si>
  <si>
    <t>Salário funcionário CLT – junho/2026</t>
  </si>
  <si>
    <t>Folha junho</t>
  </si>
  <si>
    <t>19</t>
  </si>
  <si>
    <t>FGTS (8%) + INSS patronal (20%) – junho/2026</t>
  </si>
  <si>
    <t>Encargos junho</t>
  </si>
  <si>
    <t>20</t>
  </si>
  <si>
    <t>Pró-labore Sofia – junho/2026</t>
  </si>
  <si>
    <t>Pró-labore líquido</t>
  </si>
  <si>
    <t>21</t>
  </si>
  <si>
    <t>Pagamento de aluguel da loja em Penedo/AL– junho/2026</t>
  </si>
  <si>
    <t>Contrato locação</t>
  </si>
  <si>
    <t>22</t>
  </si>
  <si>
    <t>Telecom + material escritório – junho/2026</t>
  </si>
  <si>
    <t>Faturas operacionais</t>
  </si>
  <si>
    <t>23</t>
  </si>
  <si>
    <t>GP</t>
  </si>
  <si>
    <t>Recolhimento DAS maio (do Passivo)</t>
  </si>
  <si>
    <t>DARF DAS maio</t>
  </si>
  <si>
    <t>24</t>
  </si>
  <si>
    <t>Recolhimento FGTS + INSS maio</t>
  </si>
  <si>
    <t>Guias maio</t>
  </si>
  <si>
    <t>25</t>
  </si>
  <si>
    <t>20/06/2026</t>
  </si>
  <si>
    <t>Compra de mesa e cadeiras (ativo fixo)</t>
  </si>
  <si>
    <t>NF mobiliário</t>
  </si>
  <si>
    <t>26</t>
  </si>
  <si>
    <t>DAS – Simples Nacional – junho/2026</t>
  </si>
  <si>
    <t>RB R$23.500 × 6%</t>
  </si>
  <si>
    <t>27</t>
  </si>
  <si>
    <t>Depreciação equipamentos + móveis – junho/2026</t>
  </si>
  <si>
    <t>Equiptos R$133 + Móv R$25</t>
  </si>
  <si>
    <t>◆  MÊS 3 –  UTI dos Nerds Ltda.</t>
  </si>
  <si>
    <t>Jul</t>
  </si>
  <si>
    <t>28</t>
  </si>
  <si>
    <t>10/07/2026</t>
  </si>
  <si>
    <t>Receita serviço – Cliente D (à vista)</t>
  </si>
  <si>
    <t>NFS-e 0004 – preencher</t>
  </si>
  <si>
    <t>29</t>
  </si>
  <si>
    <t>Receita – Cliente B (3.º contrato, a prazo 45 dias)</t>
  </si>
  <si>
    <t>NFS-e 0005</t>
  </si>
  <si>
    <t>30</t>
  </si>
  <si>
    <t>31/07/2026</t>
  </si>
  <si>
    <t>Salário – 2 funcionários CLT – julho/2026</t>
  </si>
  <si>
    <t>Folha julho (2 func.)</t>
  </si>
  <si>
    <t>31</t>
  </si>
  <si>
    <t>FGTS + INSS patronal – julho/2026</t>
  </si>
  <si>
    <t>Encargos julho</t>
  </si>
  <si>
    <t>32</t>
  </si>
  <si>
    <t>Pró-labore Sofia – julho/2026</t>
  </si>
  <si>
    <t>33</t>
  </si>
  <si>
    <t>Aluguel – julho/2026</t>
  </si>
  <si>
    <t>34</t>
  </si>
  <si>
    <t>Telecom + escritório – julho/2026</t>
  </si>
  <si>
    <t>35</t>
  </si>
  <si>
    <t>Recolhimento DAS junho</t>
  </si>
  <si>
    <t>DARF DAS junho</t>
  </si>
  <si>
    <t>36</t>
  </si>
  <si>
    <t>Compra impressora (ativo fixo)</t>
  </si>
  <si>
    <t>NF impressora</t>
  </si>
  <si>
    <t>37</t>
  </si>
  <si>
    <t>DAS – Simples Nacional – julho/2026</t>
  </si>
  <si>
    <t>RB R$28.200 × 6%</t>
  </si>
  <si>
    <t>38</t>
  </si>
  <si>
    <t>Depreciação todos os ativos – julho/2026</t>
  </si>
  <si>
    <t>Equiptos+Móv+Impr</t>
  </si>
  <si>
    <t>TOTAL GERAL DE VALORES LANÇADOS</t>
  </si>
  <si>
    <t xml:space="preserve">  ↓  ADICIONE AQUI LANÇAMENTOS ADICIONAIS DO MÊS 3 (se necessário)</t>
  </si>
  <si>
    <t>DEMONSTRAÇÃO DO RESULTADO DO EXERCÍCIO – DRE</t>
  </si>
  <si>
    <t>NexusTech Penedo Soluções Digitais Ltda.  |  Período: Maio a Julho/2026</t>
  </si>
  <si>
    <t>Maio/2026</t>
  </si>
  <si>
    <t>Junho/2026</t>
  </si>
  <si>
    <t>Julho/2026</t>
  </si>
  <si>
    <t>AV% Mai</t>
  </si>
  <si>
    <t>AV% Jun</t>
  </si>
  <si>
    <t xml:space="preserve">  RECEITAS</t>
  </si>
  <si>
    <t>1. Receita Bruta de Serviços</t>
  </si>
  <si>
    <t xml:space="preserve">   (–) DAS – Simples Nacional (6%)</t>
  </si>
  <si>
    <t>2. RECEITA LÍQUIDA</t>
  </si>
  <si>
    <t xml:space="preserve">  CUSTOS E DESPESAS OPERACIONAIS</t>
  </si>
  <si>
    <t xml:space="preserve">   (–) Salários e FGTS</t>
  </si>
  <si>
    <t xml:space="preserve">   (–) INSS Patronal (salário + pró-labore)</t>
  </si>
  <si>
    <t xml:space="preserve">   (–) Pró-labore (administradora)</t>
  </si>
  <si>
    <t xml:space="preserve">   (–) Aluguel</t>
  </si>
  <si>
    <t xml:space="preserve">   (–) Telecomunicações</t>
  </si>
  <si>
    <t xml:space="preserve">   (–) Material de Escritório</t>
  </si>
  <si>
    <t xml:space="preserve">   (–) Despesas Pré-operacionais</t>
  </si>
  <si>
    <t>-</t>
  </si>
  <si>
    <t xml:space="preserve">   (–) Depreciação de Equipamentos</t>
  </si>
  <si>
    <t>3. TOTAL DESPESAS OPERACIONAIS</t>
  </si>
  <si>
    <t>4. RESULTADO OPERACIONAL (EBIT)</t>
  </si>
  <si>
    <t xml:space="preserve">   (+/–) Resultado Financeiro</t>
  </si>
  <si>
    <t>5. LAIR (Lucro Antes do IR)</t>
  </si>
  <si>
    <t xml:space="preserve">   (–) IRPJ / CSLL (Simples – já no DAS)</t>
  </si>
  <si>
    <t>LUCRO LÍQUIDO DO EXERCÍCIO ✓</t>
  </si>
  <si>
    <t>Nota: Valores em AZUL/AMARELO devem ser preenchidos pelo aluno. Valores em PRETO são calculados automaticamente. AV% = Análise Vertical em relação à Receita Bruta.</t>
  </si>
  <si>
    <t>BALANÇO PATRIMONIAL – NexusTech Penedo Soluções Digitais Ltda.</t>
  </si>
  <si>
    <t>ATIVO</t>
  </si>
  <si>
    <t>Jun/2026</t>
  </si>
  <si>
    <t>Jul/2026</t>
  </si>
  <si>
    <t>PASSIVO + PL</t>
  </si>
  <si>
    <t xml:space="preserve">  ATIVO CIRCULANTE</t>
  </si>
  <si>
    <t xml:space="preserve">  PASSIVO CIRCULANTE</t>
  </si>
  <si>
    <t>Clientes (a receber)</t>
  </si>
  <si>
    <t>Salários a Pagar</t>
  </si>
  <si>
    <t>TOTAL ATIVO CIRCULANTE</t>
  </si>
  <si>
    <t>Aluguéis a Pagar</t>
  </si>
  <si>
    <t>TOTAL PASSIVO CIRCULANTE</t>
  </si>
  <si>
    <t xml:space="preserve">  ATIVO NÃO CIRCULANTE</t>
  </si>
  <si>
    <t xml:space="preserve">  PASSIVO NÃO CIRCULANTE</t>
  </si>
  <si>
    <t>Móveis e Utensílios</t>
  </si>
  <si>
    <t>Empréstimos LP</t>
  </si>
  <si>
    <t>(–) Depreciação Acumulada</t>
  </si>
  <si>
    <t>TOTAL PNC</t>
  </si>
  <si>
    <t>TOTAL ATIVO NÃO CIRCULANTE</t>
  </si>
  <si>
    <t xml:space="preserve">  PATRIMÔNIO LÍQUIDO</t>
  </si>
  <si>
    <t>TOTAL GERAL DO ATIVO</t>
  </si>
  <si>
    <t>TOTAL PL</t>
  </si>
  <si>
    <t>TOTAL PASSIVO + PL</t>
  </si>
  <si>
    <t xml:space="preserve">  ✔  VERIFICAÇÃO: Ativo deve ser igual a Passivo + PL</t>
  </si>
  <si>
    <t xml:space="preserve">  Diferença Maio (deve ser R$ 0,00):</t>
  </si>
  <si>
    <t xml:space="preserve">  Diferença Junho (deve ser R$ 0,00):</t>
  </si>
  <si>
    <t xml:space="preserve">  Diferença Julho (deve ser R$ 0,00):</t>
  </si>
  <si>
    <t>ANÁLISE DE ÍNDICES FINANCEIROS – NexusTech Penedo</t>
  </si>
  <si>
    <t>⚠  Preencha os valores do BP e DRE nas abas correspondentes. Os índices são calculados automaticamente a partir dos dados lançados.</t>
  </si>
  <si>
    <t>Índice</t>
  </si>
  <si>
    <t>Fórmula</t>
  </si>
  <si>
    <t>Referência</t>
  </si>
  <si>
    <t>Interpretação</t>
  </si>
  <si>
    <t xml:space="preserve">  ÍNDICES DE LIQUIDEZ</t>
  </si>
  <si>
    <t>Liquidez Corrente</t>
  </si>
  <si>
    <t>AC ÷ PC</t>
  </si>
  <si>
    <t>&gt; 1,5 (ótimo)</t>
  </si>
  <si>
    <t>Quanto &gt; 1, maior a folga de curto prazo</t>
  </si>
  <si>
    <t>Liquidez Seca</t>
  </si>
  <si>
    <t>(AC – Estoques) ÷ PC</t>
  </si>
  <si>
    <t>&gt; 1,0</t>
  </si>
  <si>
    <t>Sem estoque (serviços) = igual à LC</t>
  </si>
  <si>
    <t>Liquidez Imediata</t>
  </si>
  <si>
    <t>(Caixa + Banco) ÷ PC</t>
  </si>
  <si>
    <t>&gt; 0,5</t>
  </si>
  <si>
    <t>Capacidade de pagamento imediato</t>
  </si>
  <si>
    <t xml:space="preserve">  ÍNDICES DE RENTABILIDADE</t>
  </si>
  <si>
    <t>Margem Bruta</t>
  </si>
  <si>
    <t>Lucro Bruto ÷ Receita Líquida</t>
  </si>
  <si>
    <t>Quanto maior, melhor</t>
  </si>
  <si>
    <t>100% para empresas de serviços puro</t>
  </si>
  <si>
    <t>Margem Operacional (EBIT)</t>
  </si>
  <si>
    <t>EBIT ÷ Receita Líquida</t>
  </si>
  <si>
    <t>&gt; 15% saudável</t>
  </si>
  <si>
    <t>Eficiência das operações</t>
  </si>
  <si>
    <t>Margem Líquida</t>
  </si>
  <si>
    <t>Lucro Líquido ÷ Receita Bruta</t>
  </si>
  <si>
    <t>&gt; 10% saudável</t>
  </si>
  <si>
    <t>Quanto sobra de cada R$1 faturado</t>
  </si>
  <si>
    <t>ROE – Retorno s/ PL</t>
  </si>
  <si>
    <t>Lucro Líquido ÷ PL</t>
  </si>
  <si>
    <t>&gt; 12% a.a.</t>
  </si>
  <si>
    <t>Retorno gerado para os sócios</t>
  </si>
  <si>
    <t>ROA – Retorno s/ Ativo Total</t>
  </si>
  <si>
    <t>Lucro Líquido ÷ Ativo Total</t>
  </si>
  <si>
    <t>&gt; 8% a.a.</t>
  </si>
  <si>
    <t>Eficiência de todos os ativos</t>
  </si>
  <si>
    <t xml:space="preserve">  ÍNDICES DE ESTRUTURA DE CAPITAL</t>
  </si>
  <si>
    <t>Endividamento Geral</t>
  </si>
  <si>
    <t>Passivo Total ÷ Ativo Total</t>
  </si>
  <si>
    <t>&lt; 50% saudável</t>
  </si>
  <si>
    <t>Quanto do ativo é financiado por terceiros</t>
  </si>
  <si>
    <t>Grau de Alavancagem Financeira</t>
  </si>
  <si>
    <t>Passivo Total ÷ PL</t>
  </si>
  <si>
    <t>&lt; 1,0 conservador</t>
  </si>
  <si>
    <t>Relação dívida / capital próprio</t>
  </si>
  <si>
    <t xml:space="preserve">  ÍNDICES DE ATIVIDADE</t>
  </si>
  <si>
    <t>Giro do Ativo</t>
  </si>
  <si>
    <t>Receita Líquida ÷ Ativo Total</t>
  </si>
  <si>
    <t>Eficiência na geração de receita</t>
  </si>
  <si>
    <t>PMRV – Prazo Médio Receb.</t>
  </si>
  <si>
    <t>(Clientes ÷ Receita Bruta) × 30</t>
  </si>
  <si>
    <t>&lt; 30 dias ideal</t>
  </si>
  <si>
    <t>Quanto tempo leva para receber</t>
  </si>
  <si>
    <t>BALANCETE DE VERIFICAÇÃO – NexusTech (Meses 1, 2 e 3)</t>
  </si>
  <si>
    <t>Conta</t>
  </si>
  <si>
    <t>Nat.</t>
  </si>
  <si>
    <t>Débitos (R$)</t>
  </si>
  <si>
    <t>Créditos (R$)</t>
  </si>
  <si>
    <t>Saldo (R$)</t>
  </si>
  <si>
    <t>D/C</t>
  </si>
  <si>
    <t xml:space="preserve">  Maio/2026 – Mês 1</t>
  </si>
  <si>
    <t>Ativo</t>
  </si>
  <si>
    <t>D</t>
  </si>
  <si>
    <t>Depreciação Acumulada</t>
  </si>
  <si>
    <t>Retif. Ativo</t>
  </si>
  <si>
    <t>C</t>
  </si>
  <si>
    <t>Passivo</t>
  </si>
  <si>
    <t>PL</t>
  </si>
  <si>
    <t>Resultado</t>
  </si>
  <si>
    <t xml:space="preserve">  TOTAIS DO BALANCETE – VERIFICAÇÃO</t>
  </si>
  <si>
    <t xml:space="preserve">  TOTAL CRÉDITOS</t>
  </si>
  <si>
    <t>ANÁLISE COMPARATIVA E DASHBOARD DE INDICADORES</t>
  </si>
  <si>
    <t xml:space="preserve">  EVOLUÇÃO DOS INDICADORES (Meses 1, 2 e 3)</t>
  </si>
  <si>
    <t>Indicador</t>
  </si>
  <si>
    <t>Receita Bruta (R$)</t>
  </si>
  <si>
    <t>Receita Líquida (R$)</t>
  </si>
  <si>
    <t>Despesas Operacionais (R$)</t>
  </si>
  <si>
    <t>Lucro Líquido (R$)</t>
  </si>
  <si>
    <t>Margem Líquida (%)</t>
  </si>
  <si>
    <t>ROE (%)</t>
  </si>
  <si>
    <t>Endividamento Geral (%)</t>
  </si>
  <si>
    <t>PMRV (dias)</t>
  </si>
  <si>
    <t xml:space="preserve">  ANÁLISE HORIZONTAL – VARIAÇÕES</t>
  </si>
  <si>
    <t>Var. Mai→Jun</t>
  </si>
  <si>
    <t>Var. Jun→Jul</t>
  </si>
  <si>
    <t>Var. Total</t>
  </si>
  <si>
    <t>Receita Bruta</t>
  </si>
  <si>
    <t>Receita Líquida</t>
  </si>
  <si>
    <t>Desp. Operacionais</t>
  </si>
  <si>
    <t>Lucro Líquido</t>
  </si>
  <si>
    <t xml:space="preserve">  ANÁLISE GERENCIAL (texto livre do aluno)</t>
  </si>
  <si>
    <t>Pontos Fortes identificados:
1.
2.</t>
  </si>
  <si>
    <t>Pontos de Atenção / Riscos:
1.
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</si>
</sst>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&quot;R$ &quot;#,##0.00"/>
    <numFmt numFmtId="166" formatCode="&quot;R$ &quot;#,##0.00;&quot;(R$ &quot;#,##0.00\);\-"/>
    <numFmt numFmtId="167" formatCode="0.0%"/>
    <numFmt numFmtId="168" formatCode="0.0&quot; dias&quot;"/>
    <numFmt numFmtId="169" formatCode="&quot;R$ &quot;#,##0"/>
    <numFmt numFmtId="170" formatCode="0.0"/>
  </numFmts>
  <fonts count="35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Calibri"/>
    </font>
    <font/>
    <font>
      <b/>
      <sz val="12.0"/>
      <color rgb="FFFFFFFF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9.0"/>
      <color rgb="FF000000"/>
      <name val="Calibri"/>
    </font>
    <font>
      <sz val="9.0"/>
      <color rgb="FF000000"/>
      <name val="Calibri"/>
    </font>
    <font>
      <sz val="9.0"/>
      <color rgb="FFB41E1E"/>
      <name val="Calibri"/>
    </font>
    <font>
      <b/>
      <sz val="9.0"/>
      <color rgb="FF0000FF"/>
      <name val="Calibri"/>
    </font>
    <font>
      <sz val="9.0"/>
      <color theme="1"/>
      <name val="Calibri"/>
    </font>
    <font>
      <b/>
      <sz val="9.0"/>
      <color rgb="FFB41E1E"/>
      <name val="Calibri"/>
    </font>
    <font>
      <b/>
      <sz val="13.0"/>
      <color rgb="FFFFFFFF"/>
      <name val="Calibri"/>
    </font>
    <font>
      <b/>
      <sz val="8.0"/>
      <color rgb="FFB41E1E"/>
      <name val="Calibri"/>
    </font>
    <font>
      <b/>
      <sz val="9.0"/>
      <color rgb="FF1F3864"/>
      <name val="Calibri"/>
    </font>
    <font>
      <sz val="9.0"/>
      <color rgb="FF0000FF"/>
      <name val="Calibri"/>
    </font>
    <font>
      <i/>
      <sz val="9.0"/>
      <color rgb="FF595959"/>
      <name val="Calibri"/>
    </font>
    <font>
      <b/>
      <sz val="9.0"/>
      <color rgb="FF22783C"/>
      <name val="Calibri"/>
    </font>
    <font>
      <b/>
      <sz val="10.0"/>
      <color rgb="FF1F3864"/>
      <name val="Calibri"/>
    </font>
    <font>
      <sz val="10.0"/>
      <color rgb="FF0000FF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b/>
      <sz val="9.0"/>
      <color theme="1"/>
      <name val="Calibri"/>
    </font>
    <font>
      <i/>
      <sz val="8.0"/>
      <color rgb="FF595959"/>
      <name val="Calibri"/>
    </font>
    <font>
      <sz val="10.0"/>
      <color rgb="FF000000"/>
      <name val="Calibri"/>
    </font>
    <font>
      <color theme="1"/>
      <name val="Calibri"/>
      <scheme val="minor"/>
    </font>
    <font>
      <b/>
      <sz val="10.0"/>
      <color rgb="FF22783C"/>
      <name val="Calibri"/>
    </font>
    <font>
      <i/>
      <sz val="9.0"/>
      <color rgb="FF000000"/>
      <name val="Calibri"/>
    </font>
    <font>
      <b/>
      <color rgb="FFFFFFFF"/>
      <name val="Calibri"/>
    </font>
    <font>
      <color theme="1"/>
      <name val="Arial"/>
    </font>
    <font>
      <b/>
      <color theme="1"/>
      <name val="Calibri"/>
    </font>
    <font>
      <b/>
      <color rgb="FF22783C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  <fill>
      <patternFill patternType="solid">
        <fgColor rgb="FFDEEAF1"/>
        <bgColor rgb="FFDEEAF1"/>
      </patternFill>
    </fill>
    <fill>
      <patternFill patternType="solid">
        <fgColor rgb="FFFCE4D6"/>
        <bgColor rgb="FFFCE4D6"/>
      </patternFill>
    </fill>
    <fill>
      <patternFill patternType="solid">
        <fgColor rgb="FFEAF4E9"/>
        <bgColor rgb="FFEAF4E9"/>
      </patternFill>
    </fill>
    <fill>
      <patternFill patternType="solid">
        <fgColor rgb="FF2E6DB4"/>
        <bgColor rgb="FF2E6DB4"/>
      </patternFill>
    </fill>
    <fill>
      <patternFill patternType="solid">
        <fgColor rgb="FF22783C"/>
        <bgColor rgb="FF22783C"/>
      </patternFill>
    </fill>
    <fill>
      <patternFill patternType="solid">
        <fgColor rgb="FFE7E6E6"/>
        <bgColor rgb="FFE7E6E6"/>
      </patternFill>
    </fill>
    <fill>
      <patternFill patternType="solid">
        <fgColor rgb="FFB41E1E"/>
        <bgColor rgb="FFB41E1E"/>
      </patternFill>
    </fill>
  </fills>
  <borders count="18">
    <border/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3864"/>
      </left>
      <top style="medium">
        <color rgb="FF1F3864"/>
      </top>
      <bottom style="medium">
        <color rgb="FF1F3864"/>
      </bottom>
    </border>
    <border>
      <right style="medium">
        <color rgb="FF1F3864"/>
      </right>
      <top style="medium">
        <color rgb="FF1F3864"/>
      </top>
      <bottom style="medium">
        <color rgb="FF1F3864"/>
      </bottom>
    </border>
    <border>
      <top/>
      <bottom/>
    </border>
    <border>
      <left/>
      <right/>
      <top/>
      <bottom/>
    </border>
    <border>
      <top style="medium">
        <color rgb="FF1F3864"/>
      </top>
      <bottom style="medium">
        <color rgb="FF1F3864"/>
      </bottom>
    </border>
    <border>
      <right/>
      <top style="medium">
        <color rgb="FF1F3864"/>
      </top>
      <bottom style="medium">
        <color rgb="FF1F3864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/>
      <top style="thin">
        <color rgb="FFBFBFBF"/>
      </top>
    </border>
    <border>
      <left style="thin">
        <color rgb="FFBFBFBF"/>
      </left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3" fillId="3" fontId="5" numFmtId="0" xfId="0" applyAlignment="1" applyBorder="1" applyFont="1">
      <alignment horizontal="left" shrinkToFit="0" vertical="center" wrapText="0"/>
    </xf>
    <xf borderId="3" fillId="0" fontId="6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horizontal="left" shrinkToFit="0" vertical="center" wrapText="0"/>
    </xf>
    <xf borderId="5" fillId="0" fontId="3" numFmtId="0" xfId="0" applyBorder="1" applyFont="1"/>
    <xf borderId="3" fillId="2" fontId="8" numFmtId="0" xfId="0" applyAlignment="1" applyBorder="1" applyFont="1">
      <alignment horizontal="center" shrinkToFit="0" vertical="center" wrapText="1"/>
    </xf>
    <xf borderId="3" fillId="4" fontId="9" numFmtId="0" xfId="0" applyAlignment="1" applyBorder="1" applyFill="1" applyFont="1">
      <alignment horizontal="left" shrinkToFit="0" vertical="center" wrapText="1"/>
    </xf>
    <xf borderId="3" fillId="4" fontId="10" numFmtId="0" xfId="0" applyAlignment="1" applyBorder="1" applyFont="1">
      <alignment horizontal="left" shrinkToFit="0" vertical="center" wrapText="1"/>
    </xf>
    <xf borderId="3" fillId="4" fontId="11" numFmtId="0" xfId="0" applyAlignment="1" applyBorder="1" applyFont="1">
      <alignment horizontal="left" shrinkToFit="0" vertical="center" wrapText="1"/>
    </xf>
    <xf borderId="3" fillId="5" fontId="9" numFmtId="0" xfId="0" applyAlignment="1" applyBorder="1" applyFill="1" applyFont="1">
      <alignment horizontal="left" shrinkToFit="0" vertical="center" wrapText="1"/>
    </xf>
    <xf borderId="3" fillId="5" fontId="10" numFmtId="0" xfId="0" applyAlignment="1" applyBorder="1" applyFont="1">
      <alignment horizontal="left" shrinkToFit="0" vertical="center" wrapText="1"/>
    </xf>
    <xf borderId="3" fillId="5" fontId="11" numFmtId="0" xfId="0" applyAlignment="1" applyBorder="1" applyFont="1">
      <alignment horizontal="left" shrinkToFit="0" vertical="center" wrapText="1"/>
    </xf>
    <xf borderId="3" fillId="6" fontId="12" numFmtId="0" xfId="0" applyAlignment="1" applyBorder="1" applyFill="1" applyFont="1">
      <alignment horizontal="center" shrinkToFit="0" vertical="center" wrapText="0"/>
    </xf>
    <xf borderId="3" fillId="0" fontId="13" numFmtId="0" xfId="0" applyAlignment="1" applyBorder="1" applyFont="1">
      <alignment horizontal="left" shrinkToFit="0" vertical="center" wrapText="0"/>
    </xf>
    <xf borderId="3" fillId="5" fontId="9" numFmtId="0" xfId="0" applyAlignment="1" applyBorder="1" applyFont="1">
      <alignment horizontal="center" shrinkToFit="0" vertical="center" wrapText="0"/>
    </xf>
    <xf borderId="3" fillId="7" fontId="9" numFmtId="0" xfId="0" applyAlignment="1" applyBorder="1" applyFill="1" applyFont="1">
      <alignment horizontal="center" shrinkToFit="0" vertical="center" wrapText="0"/>
    </xf>
    <xf borderId="3" fillId="8" fontId="14" numFmtId="0" xfId="0" applyAlignment="1" applyBorder="1" applyFill="1" applyFont="1">
      <alignment horizontal="center" shrinkToFit="0" vertical="center" wrapText="0"/>
    </xf>
    <xf borderId="3" fillId="9" fontId="9" numFmtId="0" xfId="0" applyAlignment="1" applyBorder="1" applyFill="1" applyFont="1">
      <alignment horizontal="center" shrinkToFit="0" vertical="center" wrapText="0"/>
    </xf>
    <xf borderId="1" fillId="2" fontId="15" numFmtId="0" xfId="0" applyAlignment="1" applyBorder="1" applyFont="1">
      <alignment horizontal="center" shrinkToFit="0" vertical="center" wrapText="0"/>
    </xf>
    <xf borderId="6" fillId="0" fontId="3" numFmtId="0" xfId="0" applyBorder="1" applyFont="1"/>
    <xf borderId="1" fillId="8" fontId="14" numFmtId="0" xfId="0" applyAlignment="1" applyBorder="1" applyFont="1">
      <alignment horizontal="center" shrinkToFit="0" vertical="center" wrapText="0"/>
    </xf>
    <xf borderId="3" fillId="3" fontId="5" numFmtId="0" xfId="0" applyAlignment="1" applyBorder="1" applyFont="1">
      <alignment horizontal="center" shrinkToFit="0" vertical="center" wrapText="1"/>
    </xf>
    <xf borderId="3" fillId="10" fontId="10" numFmtId="0" xfId="0" applyAlignment="1" applyBorder="1" applyFill="1" applyFont="1">
      <alignment horizontal="left" shrinkToFit="0" vertical="center" wrapText="0"/>
    </xf>
    <xf borderId="3" fillId="10" fontId="12" numFmtId="0" xfId="0" applyAlignment="1" applyBorder="1" applyFont="1">
      <alignment horizontal="left" shrinkToFit="0" vertical="center" wrapText="0"/>
    </xf>
    <xf borderId="3" fillId="9" fontId="10" numFmtId="0" xfId="0" applyAlignment="1" applyBorder="1" applyFont="1">
      <alignment horizontal="left" shrinkToFit="0" vertical="center" wrapText="0"/>
    </xf>
    <xf borderId="3" fillId="9" fontId="12" numFmtId="0" xfId="0" applyAlignment="1" applyBorder="1" applyFont="1">
      <alignment horizontal="left" shrinkToFit="0" vertical="center" wrapText="0"/>
    </xf>
    <xf borderId="3" fillId="11" fontId="10" numFmtId="0" xfId="0" applyAlignment="1" applyBorder="1" applyFill="1" applyFont="1">
      <alignment horizontal="left" shrinkToFit="0" vertical="center" wrapText="0"/>
    </xf>
    <xf borderId="3" fillId="11" fontId="12" numFmtId="0" xfId="0" applyAlignment="1" applyBorder="1" applyFont="1">
      <alignment horizontal="left" shrinkToFit="0" vertical="center" wrapText="0"/>
    </xf>
    <xf borderId="3" fillId="7" fontId="10" numFmtId="0" xfId="0" applyAlignment="1" applyBorder="1" applyFont="1">
      <alignment horizontal="left" shrinkToFit="0" vertical="center" wrapText="0"/>
    </xf>
    <xf borderId="3" fillId="7" fontId="12" numFmtId="0" xfId="0" applyAlignment="1" applyBorder="1" applyFont="1">
      <alignment horizontal="left" shrinkToFit="0" vertical="center" wrapText="0"/>
    </xf>
    <xf borderId="3" fillId="12" fontId="10" numFmtId="0" xfId="0" applyAlignment="1" applyBorder="1" applyFill="1" applyFont="1">
      <alignment horizontal="left" shrinkToFit="0" vertical="center" wrapText="0"/>
    </xf>
    <xf borderId="3" fillId="12" fontId="12" numFmtId="0" xfId="0" applyAlignment="1" applyBorder="1" applyFont="1">
      <alignment horizontal="left" shrinkToFit="0" vertical="center" wrapText="0"/>
    </xf>
    <xf borderId="3" fillId="6" fontId="10" numFmtId="0" xfId="0" applyAlignment="1" applyBorder="1" applyFont="1">
      <alignment horizontal="left" shrinkToFit="0" vertical="center" wrapText="0"/>
    </xf>
    <xf borderId="3" fillId="6" fontId="12" numFmtId="0" xfId="0" applyAlignment="1" applyBorder="1" applyFont="1">
      <alignment horizontal="left" shrinkToFit="0" vertical="center" wrapText="0"/>
    </xf>
    <xf borderId="1" fillId="8" fontId="16" numFmtId="0" xfId="0" applyAlignment="1" applyBorder="1" applyFont="1">
      <alignment horizontal="left" shrinkToFit="0" vertical="center" wrapText="1"/>
    </xf>
    <xf borderId="1" fillId="13" fontId="5" numFmtId="0" xfId="0" applyAlignment="1" applyBorder="1" applyFill="1" applyFont="1">
      <alignment horizontal="left" readingOrder="0" shrinkToFit="0" vertical="center" wrapText="0"/>
    </xf>
    <xf borderId="3" fillId="9" fontId="17" numFmtId="0" xfId="0" applyAlignment="1" applyBorder="1" applyFont="1">
      <alignment horizontal="center" shrinkToFit="0" vertical="center" wrapText="0"/>
    </xf>
    <xf borderId="3" fillId="5" fontId="13" numFmtId="0" xfId="0" applyAlignment="1" applyBorder="1" applyFont="1">
      <alignment horizontal="center" shrinkToFit="0" vertical="center" wrapText="0"/>
    </xf>
    <xf borderId="3" fillId="6" fontId="18" numFmtId="164" xfId="0" applyAlignment="1" applyBorder="1" applyFont="1" applyNumberFormat="1">
      <alignment horizontal="center" readingOrder="0" shrinkToFit="0" vertical="center" wrapText="0"/>
    </xf>
    <xf borderId="3" fillId="5" fontId="13" numFmtId="0" xfId="0" applyAlignment="1" applyBorder="1" applyFont="1">
      <alignment horizontal="left" readingOrder="0" shrinkToFit="0" vertical="center" wrapText="1"/>
    </xf>
    <xf borderId="3" fillId="6" fontId="18" numFmtId="0" xfId="0" applyAlignment="1" applyBorder="1" applyFont="1">
      <alignment horizontal="left" shrinkToFit="0" vertical="center" wrapText="0"/>
    </xf>
    <xf borderId="3" fillId="6" fontId="18" numFmtId="165" xfId="0" applyAlignment="1" applyBorder="1" applyFont="1" applyNumberFormat="1">
      <alignment horizontal="right" readingOrder="0" shrinkToFit="0" vertical="center" wrapText="0"/>
    </xf>
    <xf borderId="3" fillId="5" fontId="19" numFmtId="0" xfId="0" applyAlignment="1" applyBorder="1" applyFont="1">
      <alignment horizontal="left" readingOrder="0" shrinkToFit="0" vertical="center" wrapText="1"/>
    </xf>
    <xf borderId="3" fillId="4" fontId="13" numFmtId="0" xfId="0" applyAlignment="1" applyBorder="1" applyFont="1">
      <alignment horizontal="center" shrinkToFit="0" vertical="center" wrapText="0"/>
    </xf>
    <xf borderId="3" fillId="4" fontId="13" numFmtId="0" xfId="0" applyAlignment="1" applyBorder="1" applyFont="1">
      <alignment horizontal="left" readingOrder="0" shrinkToFit="0" vertical="center" wrapText="1"/>
    </xf>
    <xf borderId="3" fillId="6" fontId="18" numFmtId="165" xfId="0" applyAlignment="1" applyBorder="1" applyFont="1" applyNumberFormat="1">
      <alignment horizontal="right" shrinkToFit="0" vertical="center" wrapText="0"/>
    </xf>
    <xf borderId="3" fillId="4" fontId="19" numFmtId="0" xfId="0" applyAlignment="1" applyBorder="1" applyFont="1">
      <alignment horizontal="left" shrinkToFit="0" vertical="center" wrapText="1"/>
    </xf>
    <xf borderId="3" fillId="6" fontId="18" numFmtId="0" xfId="0" applyAlignment="1" applyBorder="1" applyFont="1">
      <alignment horizontal="center" shrinkToFit="0" vertical="center" wrapText="0"/>
    </xf>
    <xf borderId="3" fillId="5" fontId="19" numFmtId="0" xfId="0" applyAlignment="1" applyBorder="1" applyFont="1">
      <alignment horizontal="left" shrinkToFit="0" vertical="center" wrapText="1"/>
    </xf>
    <xf borderId="3" fillId="4" fontId="13" numFmtId="0" xfId="0" applyAlignment="1" applyBorder="1" applyFont="1">
      <alignment horizontal="left" shrinkToFit="0" vertical="center" wrapText="1"/>
    </xf>
    <xf borderId="3" fillId="5" fontId="13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right" shrinkToFit="0" vertical="center" wrapText="0"/>
    </xf>
    <xf borderId="7" fillId="2" fontId="5" numFmtId="165" xfId="0" applyAlignment="1" applyBorder="1" applyFont="1" applyNumberFormat="1">
      <alignment horizontal="right" shrinkToFit="0" vertical="center" wrapText="0"/>
    </xf>
    <xf borderId="1" fillId="7" fontId="20" numFmtId="0" xfId="0" applyAlignment="1" applyBorder="1" applyFont="1">
      <alignment horizontal="left" shrinkToFit="0" vertical="center" wrapText="0"/>
    </xf>
    <xf borderId="3" fillId="6" fontId="1" numFmtId="0" xfId="0" applyAlignment="1" applyBorder="1" applyFont="1">
      <alignment shrinkToFit="0" vertical="bottom" wrapText="0"/>
    </xf>
    <xf borderId="3" fillId="6" fontId="1" numFmtId="165" xfId="0" applyAlignment="1" applyBorder="1" applyFont="1" applyNumberFormat="1">
      <alignment shrinkToFit="0" vertical="bottom" wrapText="0"/>
    </xf>
    <xf borderId="1" fillId="9" fontId="21" numFmtId="0" xfId="0" applyAlignment="1" applyBorder="1" applyFont="1">
      <alignment horizontal="center" shrinkToFit="0" vertical="center" wrapText="0"/>
    </xf>
    <xf borderId="4" fillId="13" fontId="5" numFmtId="0" xfId="0" applyAlignment="1" applyBorder="1" applyFont="1">
      <alignment horizontal="left" shrinkToFit="0" vertical="center" wrapText="0"/>
    </xf>
    <xf borderId="8" fillId="0" fontId="3" numFmtId="0" xfId="0" applyBorder="1" applyFont="1"/>
    <xf borderId="9" fillId="0" fontId="3" numFmtId="0" xfId="0" applyBorder="1" applyFont="1"/>
    <xf borderId="3" fillId="5" fontId="6" numFmtId="0" xfId="0" applyAlignment="1" applyBorder="1" applyFont="1">
      <alignment horizontal="left" shrinkToFit="0" vertical="center" wrapText="0"/>
    </xf>
    <xf borderId="3" fillId="6" fontId="22" numFmtId="166" xfId="0" applyAlignment="1" applyBorder="1" applyFont="1" applyNumberFormat="1">
      <alignment horizontal="right" shrinkToFit="0" vertical="center" wrapText="0"/>
    </xf>
    <xf borderId="3" fillId="4" fontId="13" numFmtId="167" xfId="0" applyAlignment="1" applyBorder="1" applyFont="1" applyNumberFormat="1">
      <alignment horizontal="center" shrinkToFit="0" vertical="center" wrapText="0"/>
    </xf>
    <xf borderId="3" fillId="6" fontId="22" numFmtId="166" xfId="0" applyAlignment="1" applyBorder="1" applyFont="1" applyNumberFormat="1">
      <alignment horizontal="right" readingOrder="0" shrinkToFit="0" vertical="center" wrapText="0"/>
    </xf>
    <xf borderId="3" fillId="9" fontId="23" numFmtId="0" xfId="0" applyAlignment="1" applyBorder="1" applyFont="1">
      <alignment horizontal="left" shrinkToFit="0" vertical="center" wrapText="0"/>
    </xf>
    <xf borderId="3" fillId="9" fontId="24" numFmtId="166" xfId="0" applyAlignment="1" applyBorder="1" applyFont="1" applyNumberFormat="1">
      <alignment horizontal="right" shrinkToFit="0" vertical="center" wrapText="0"/>
    </xf>
    <xf borderId="3" fillId="9" fontId="25" numFmtId="167" xfId="0" applyAlignment="1" applyBorder="1" applyFont="1" applyNumberFormat="1">
      <alignment horizontal="center" shrinkToFit="0" vertical="center" wrapText="0"/>
    </xf>
    <xf borderId="3" fillId="4" fontId="23" numFmtId="0" xfId="0" applyAlignment="1" applyBorder="1" applyFont="1">
      <alignment horizontal="left" shrinkToFit="0" vertical="center" wrapText="0"/>
    </xf>
    <xf borderId="3" fillId="4" fontId="24" numFmtId="166" xfId="0" applyAlignment="1" applyBorder="1" applyFont="1" applyNumberFormat="1">
      <alignment horizontal="right" shrinkToFit="0" vertical="center" wrapText="0"/>
    </xf>
    <xf borderId="3" fillId="4" fontId="25" numFmtId="167" xfId="0" applyAlignment="1" applyBorder="1" applyFont="1" applyNumberFormat="1">
      <alignment horizontal="center" shrinkToFit="0" vertical="center" wrapText="0"/>
    </xf>
    <xf borderId="3" fillId="3" fontId="23" numFmtId="0" xfId="0" applyAlignment="1" applyBorder="1" applyFont="1">
      <alignment horizontal="left" shrinkToFit="0" vertical="center" wrapText="0"/>
    </xf>
    <xf borderId="3" fillId="3" fontId="24" numFmtId="166" xfId="0" applyAlignment="1" applyBorder="1" applyFont="1" applyNumberFormat="1">
      <alignment horizontal="right" shrinkToFit="0" vertical="center" wrapText="0"/>
    </xf>
    <xf borderId="3" fillId="3" fontId="25" numFmtId="167" xfId="0" applyAlignment="1" applyBorder="1" applyFont="1" applyNumberFormat="1">
      <alignment horizontal="center" shrinkToFit="0" vertical="center" wrapText="0"/>
    </xf>
    <xf borderId="3" fillId="14" fontId="23" numFmtId="0" xfId="0" applyAlignment="1" applyBorder="1" applyFill="1" applyFont="1">
      <alignment horizontal="left" shrinkToFit="0" vertical="center" wrapText="0"/>
    </xf>
    <xf borderId="3" fillId="14" fontId="24" numFmtId="166" xfId="0" applyAlignment="1" applyBorder="1" applyFont="1" applyNumberFormat="1">
      <alignment horizontal="right" shrinkToFit="0" vertical="center" wrapText="0"/>
    </xf>
    <xf borderId="3" fillId="14" fontId="25" numFmtId="167" xfId="0" applyAlignment="1" applyBorder="1" applyFont="1" applyNumberFormat="1">
      <alignment horizontal="center" shrinkToFit="0" vertical="center" wrapText="0"/>
    </xf>
    <xf borderId="0" fillId="0" fontId="26" numFmtId="0" xfId="0" applyAlignment="1" applyFont="1">
      <alignment horizontal="left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7" fillId="15" fontId="1" numFmtId="0" xfId="0" applyAlignment="1" applyBorder="1" applyFill="1" applyFont="1">
      <alignment shrinkToFit="0" vertical="bottom" wrapText="0"/>
    </xf>
    <xf borderId="3" fillId="16" fontId="8" numFmtId="0" xfId="0" applyAlignment="1" applyBorder="1" applyFill="1" applyFont="1">
      <alignment horizontal="center" shrinkToFit="0" vertical="center" wrapText="1"/>
    </xf>
    <xf borderId="4" fillId="13" fontId="7" numFmtId="0" xfId="0" applyAlignment="1" applyBorder="1" applyFont="1">
      <alignment horizontal="left" shrinkToFit="0" vertical="center" wrapText="0"/>
    </xf>
    <xf borderId="4" fillId="16" fontId="5" numFmtId="0" xfId="0" applyAlignment="1" applyBorder="1" applyFont="1">
      <alignment horizontal="left" shrinkToFit="0" vertical="center" wrapText="0"/>
    </xf>
    <xf borderId="3" fillId="5" fontId="27" numFmtId="0" xfId="0" applyAlignment="1" applyBorder="1" applyFont="1">
      <alignment horizontal="left" shrinkToFit="0" vertical="center" wrapText="0"/>
    </xf>
    <xf borderId="0" fillId="0" fontId="28" numFmtId="166" xfId="0" applyAlignment="1" applyFont="1" applyNumberFormat="1">
      <alignment readingOrder="0"/>
    </xf>
    <xf borderId="3" fillId="9" fontId="24" numFmtId="0" xfId="0" applyAlignment="1" applyBorder="1" applyFont="1">
      <alignment horizontal="left" shrinkToFit="0" vertical="center" wrapText="0"/>
    </xf>
    <xf borderId="3" fillId="7" fontId="23" numFmtId="0" xfId="0" applyAlignment="1" applyBorder="1" applyFont="1">
      <alignment horizontal="left" shrinkToFit="0" vertical="center" wrapText="0"/>
    </xf>
    <xf borderId="3" fillId="7" fontId="24" numFmtId="166" xfId="0" applyAlignment="1" applyBorder="1" applyFont="1" applyNumberFormat="1">
      <alignment horizontal="right" shrinkToFit="0" vertical="center" wrapText="0"/>
    </xf>
    <xf borderId="3" fillId="7" fontId="24" numFmtId="0" xfId="0" applyAlignment="1" applyBorder="1" applyFont="1">
      <alignment horizontal="left" shrinkToFit="0" vertical="center" wrapText="0"/>
    </xf>
    <xf borderId="3" fillId="2" fontId="5" numFmtId="0" xfId="0" applyAlignment="1" applyBorder="1" applyFont="1">
      <alignment horizontal="left" shrinkToFit="0" vertical="center" wrapText="0"/>
    </xf>
    <xf borderId="3" fillId="2" fontId="5" numFmtId="166" xfId="0" applyAlignment="1" applyBorder="1" applyFont="1" applyNumberFormat="1">
      <alignment horizontal="right" shrinkToFit="0" vertical="center" wrapText="0"/>
    </xf>
    <xf borderId="4" fillId="14" fontId="5" numFmtId="0" xfId="0" applyAlignment="1" applyBorder="1" applyFont="1">
      <alignment horizontal="left" shrinkToFit="0" vertical="center" wrapText="0"/>
    </xf>
    <xf borderId="3" fillId="6" fontId="25" numFmtId="0" xfId="0" applyAlignment="1" applyBorder="1" applyFont="1">
      <alignment horizontal="left" shrinkToFit="0" vertical="center" wrapText="0"/>
    </xf>
    <xf borderId="3" fillId="7" fontId="29" numFmtId="166" xfId="0" applyAlignment="1" applyBorder="1" applyFont="1" applyNumberFormat="1">
      <alignment horizontal="right" shrinkToFit="0" vertical="center" wrapText="0"/>
    </xf>
    <xf borderId="1" fillId="8" fontId="14" numFmtId="0" xfId="0" applyAlignment="1" applyBorder="1" applyFont="1">
      <alignment horizontal="left" shrinkToFit="0" vertical="center" wrapText="1"/>
    </xf>
    <xf borderId="3" fillId="5" fontId="9" numFmtId="0" xfId="0" applyAlignment="1" applyBorder="1" applyFont="1">
      <alignment horizontal="left" shrinkToFit="0" vertical="center" wrapText="0"/>
    </xf>
    <xf borderId="3" fillId="5" fontId="18" numFmtId="0" xfId="0" applyAlignment="1" applyBorder="1" applyFont="1">
      <alignment horizontal="left" shrinkToFit="0" vertical="center" wrapText="1"/>
    </xf>
    <xf borderId="3" fillId="5" fontId="10" numFmtId="2" xfId="0" applyAlignment="1" applyBorder="1" applyFont="1" applyNumberFormat="1">
      <alignment horizontal="right" shrinkToFit="0" vertical="center" wrapText="0"/>
    </xf>
    <xf borderId="3" fillId="5" fontId="10" numFmtId="0" xfId="0" applyAlignment="1" applyBorder="1" applyFont="1">
      <alignment horizontal="left" shrinkToFit="0" vertical="center" wrapText="0"/>
    </xf>
    <xf borderId="3" fillId="5" fontId="30" numFmtId="0" xfId="0" applyAlignment="1" applyBorder="1" applyFont="1">
      <alignment horizontal="left" shrinkToFit="0" vertical="center" wrapText="1"/>
    </xf>
    <xf borderId="3" fillId="4" fontId="9" numFmtId="0" xfId="0" applyAlignment="1" applyBorder="1" applyFont="1">
      <alignment horizontal="left" shrinkToFit="0" vertical="center" wrapText="0"/>
    </xf>
    <xf borderId="3" fillId="4" fontId="18" numFmtId="0" xfId="0" applyAlignment="1" applyBorder="1" applyFont="1">
      <alignment horizontal="left" shrinkToFit="0" vertical="center" wrapText="1"/>
    </xf>
    <xf borderId="3" fillId="4" fontId="10" numFmtId="2" xfId="0" applyAlignment="1" applyBorder="1" applyFont="1" applyNumberFormat="1">
      <alignment horizontal="right" shrinkToFit="0" vertical="center" wrapText="0"/>
    </xf>
    <xf borderId="3" fillId="4" fontId="10" numFmtId="0" xfId="0" applyAlignment="1" applyBorder="1" applyFont="1">
      <alignment horizontal="left" shrinkToFit="0" vertical="center" wrapText="0"/>
    </xf>
    <xf borderId="3" fillId="4" fontId="30" numFmtId="0" xfId="0" applyAlignment="1" applyBorder="1" applyFont="1">
      <alignment horizontal="left" shrinkToFit="0" vertical="center" wrapText="1"/>
    </xf>
    <xf borderId="3" fillId="4" fontId="10" numFmtId="167" xfId="0" applyAlignment="1" applyBorder="1" applyFont="1" applyNumberFormat="1">
      <alignment horizontal="right" shrinkToFit="0" vertical="center" wrapText="0"/>
    </xf>
    <xf borderId="3" fillId="5" fontId="10" numFmtId="167" xfId="0" applyAlignment="1" applyBorder="1" applyFont="1" applyNumberFormat="1">
      <alignment horizontal="right" shrinkToFit="0" vertical="center" wrapText="0"/>
    </xf>
    <xf borderId="0" fillId="0" fontId="1" numFmtId="2" xfId="0" applyAlignment="1" applyFont="1" applyNumberFormat="1">
      <alignment shrinkToFit="0" vertical="bottom" wrapText="0"/>
    </xf>
    <xf borderId="3" fillId="4" fontId="10" numFmtId="168" xfId="0" applyAlignment="1" applyBorder="1" applyFont="1" applyNumberFormat="1">
      <alignment horizontal="right" shrinkToFit="0" vertical="center" wrapText="0"/>
    </xf>
    <xf borderId="1" fillId="2" fontId="4" numFmtId="0" xfId="0" applyAlignment="1" applyBorder="1" applyFont="1">
      <alignment horizontal="center" vertical="bottom"/>
    </xf>
    <xf borderId="3" fillId="3" fontId="8" numFmtId="0" xfId="0" applyAlignment="1" applyBorder="1" applyFont="1">
      <alignment horizontal="center" shrinkToFit="0" vertical="bottom" wrapText="1"/>
    </xf>
    <xf borderId="4" fillId="13" fontId="31" numFmtId="0" xfId="0" applyAlignment="1" applyBorder="1" applyFont="1">
      <alignment vertical="bottom"/>
    </xf>
    <xf borderId="3" fillId="4" fontId="25" numFmtId="0" xfId="0" applyAlignment="1" applyBorder="1" applyFont="1">
      <alignment vertical="bottom"/>
    </xf>
    <xf borderId="3" fillId="4" fontId="13" numFmtId="0" xfId="0" applyAlignment="1" applyBorder="1" applyFont="1">
      <alignment horizontal="center" vertical="bottom"/>
    </xf>
    <xf borderId="3" fillId="6" fontId="1" numFmtId="4" xfId="0" applyAlignment="1" applyBorder="1" applyFont="1" applyNumberFormat="1">
      <alignment horizontal="right" vertical="bottom"/>
    </xf>
    <xf borderId="3" fillId="4" fontId="13" numFmtId="4" xfId="0" applyAlignment="1" applyBorder="1" applyFont="1" applyNumberFormat="1">
      <alignment horizontal="right" vertical="bottom"/>
    </xf>
    <xf borderId="3" fillId="5" fontId="25" numFmtId="0" xfId="0" applyAlignment="1" applyBorder="1" applyFont="1">
      <alignment vertical="bottom"/>
    </xf>
    <xf borderId="3" fillId="5" fontId="13" numFmtId="0" xfId="0" applyAlignment="1" applyBorder="1" applyFont="1">
      <alignment horizontal="center" vertical="bottom"/>
    </xf>
    <xf borderId="3" fillId="5" fontId="13" numFmtId="4" xfId="0" applyAlignment="1" applyBorder="1" applyFont="1" applyNumberFormat="1">
      <alignment horizontal="right" vertical="bottom"/>
    </xf>
    <xf borderId="0" fillId="0" fontId="32" numFmtId="0" xfId="0" applyAlignment="1" applyFont="1">
      <alignment vertical="bottom"/>
    </xf>
    <xf borderId="4" fillId="2" fontId="31" numFmtId="0" xfId="0" applyAlignment="1" applyBorder="1" applyFont="1">
      <alignment vertical="bottom"/>
    </xf>
    <xf borderId="10" fillId="9" fontId="33" numFmtId="0" xfId="0" applyAlignment="1" applyBorder="1" applyFont="1">
      <alignment horizontal="right" vertical="bottom"/>
    </xf>
    <xf borderId="11" fillId="0" fontId="3" numFmtId="0" xfId="0" applyBorder="1" applyFont="1"/>
    <xf borderId="3" fillId="7" fontId="34" numFmtId="4" xfId="0" applyAlignment="1" applyBorder="1" applyFont="1" applyNumberFormat="1">
      <alignment horizontal="right" vertical="bottom"/>
    </xf>
    <xf borderId="3" fillId="4" fontId="27" numFmtId="169" xfId="0" applyAlignment="1" applyBorder="1" applyFont="1" applyNumberFormat="1">
      <alignment horizontal="right" shrinkToFit="0" vertical="center" wrapText="0"/>
    </xf>
    <xf borderId="3" fillId="5" fontId="27" numFmtId="169" xfId="0" applyAlignment="1" applyBorder="1" applyFont="1" applyNumberFormat="1">
      <alignment horizontal="right" shrinkToFit="0" vertical="center" wrapText="0"/>
    </xf>
    <xf borderId="3" fillId="4" fontId="27" numFmtId="167" xfId="0" applyAlignment="1" applyBorder="1" applyFont="1" applyNumberFormat="1">
      <alignment horizontal="right" shrinkToFit="0" vertical="center" wrapText="0"/>
    </xf>
    <xf borderId="3" fillId="5" fontId="27" numFmtId="2" xfId="0" applyAlignment="1" applyBorder="1" applyFont="1" applyNumberFormat="1">
      <alignment horizontal="right" shrinkToFit="0" vertical="center" wrapText="0"/>
    </xf>
    <xf borderId="3" fillId="5" fontId="27" numFmtId="167" xfId="0" applyAlignment="1" applyBorder="1" applyFont="1" applyNumberFormat="1">
      <alignment horizontal="right" shrinkToFit="0" vertical="center" wrapText="0"/>
    </xf>
    <xf borderId="3" fillId="4" fontId="27" numFmtId="170" xfId="0" applyAlignment="1" applyBorder="1" applyFont="1" applyNumberFormat="1">
      <alignment horizontal="right" shrinkToFit="0" vertical="center" wrapText="0"/>
    </xf>
    <xf borderId="3" fillId="4" fontId="6" numFmtId="167" xfId="0" applyAlignment="1" applyBorder="1" applyFont="1" applyNumberFormat="1">
      <alignment horizontal="right" shrinkToFit="0" vertical="center" wrapText="0"/>
    </xf>
    <xf borderId="3" fillId="5" fontId="6" numFmtId="167" xfId="0" applyAlignment="1" applyBorder="1" applyFont="1" applyNumberFormat="1">
      <alignment horizontal="right" shrinkToFit="0" vertical="center" wrapText="0"/>
    </xf>
    <xf borderId="0" fillId="0" fontId="1" numFmtId="167" xfId="0" applyAlignment="1" applyFont="1" applyNumberFormat="1">
      <alignment shrinkToFit="0" vertical="bottom" wrapText="0"/>
    </xf>
    <xf borderId="4" fillId="14" fontId="7" numFmtId="0" xfId="0" applyAlignment="1" applyBorder="1" applyFont="1">
      <alignment horizontal="left" shrinkToFit="0" vertical="center" wrapText="0"/>
    </xf>
    <xf borderId="12" fillId="6" fontId="22" numFmtId="0" xfId="0" applyAlignment="1" applyBorder="1" applyFont="1">
      <alignment horizontal="left" shrinkToFit="0" vertical="top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2" fillId="11" fontId="2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60.0"/>
    <col customWidth="1" min="3" max="3" width="40.0"/>
    <col customWidth="1" min="4" max="26" width="8.71"/>
  </cols>
  <sheetData>
    <row r="1" ht="9.75" customHeight="1">
      <c r="A1" s="1"/>
      <c r="B1" s="1"/>
      <c r="C1" s="1"/>
    </row>
    <row r="2" ht="30.0" customHeight="1">
      <c r="A2" s="1"/>
      <c r="B2" s="2" t="s">
        <v>0</v>
      </c>
      <c r="C2" s="3"/>
    </row>
    <row r="3" ht="24.75" customHeight="1">
      <c r="A3" s="1"/>
      <c r="B3" s="4" t="s">
        <v>1</v>
      </c>
      <c r="C3" s="3"/>
    </row>
    <row r="4">
      <c r="A4" s="1"/>
      <c r="B4" s="1"/>
      <c r="C4" s="1"/>
    </row>
    <row r="5" ht="19.5" customHeight="1">
      <c r="A5" s="1"/>
      <c r="B5" s="5" t="s">
        <v>2</v>
      </c>
      <c r="C5" s="6" t="s">
        <v>3</v>
      </c>
    </row>
    <row r="6" ht="19.5" customHeight="1">
      <c r="A6" s="1"/>
      <c r="B6" s="5" t="s">
        <v>4</v>
      </c>
      <c r="C6" s="6" t="s">
        <v>5</v>
      </c>
    </row>
    <row r="7" ht="19.5" customHeight="1">
      <c r="A7" s="1"/>
      <c r="B7" s="5" t="s">
        <v>6</v>
      </c>
      <c r="C7" s="6" t="s">
        <v>7</v>
      </c>
    </row>
    <row r="8" ht="19.5" customHeight="1">
      <c r="A8" s="1"/>
      <c r="B8" s="5" t="s">
        <v>8</v>
      </c>
      <c r="C8" s="6" t="s">
        <v>9</v>
      </c>
    </row>
    <row r="9" ht="19.5" customHeight="1">
      <c r="A9" s="1"/>
      <c r="B9" s="5" t="s">
        <v>10</v>
      </c>
      <c r="C9" s="6" t="s">
        <v>11</v>
      </c>
    </row>
    <row r="10">
      <c r="A10" s="1"/>
      <c r="B10" s="1"/>
      <c r="C10" s="1"/>
    </row>
    <row r="11" ht="19.5" customHeight="1">
      <c r="A11" s="1"/>
      <c r="B11" s="5" t="s">
        <v>12</v>
      </c>
      <c r="C11" s="6" t="s">
        <v>13</v>
      </c>
    </row>
    <row r="12">
      <c r="A12" s="1"/>
      <c r="B12" s="1"/>
      <c r="C12" s="1"/>
    </row>
    <row r="13">
      <c r="A13" s="1"/>
      <c r="B13" s="1"/>
      <c r="C13" s="1"/>
    </row>
    <row r="14" ht="21.75" customHeight="1">
      <c r="A14" s="1"/>
      <c r="B14" s="7" t="s">
        <v>14</v>
      </c>
      <c r="C14" s="8"/>
    </row>
    <row r="15" ht="19.5" customHeight="1">
      <c r="A15" s="1"/>
      <c r="B15" s="9" t="s">
        <v>15</v>
      </c>
      <c r="C15" s="9" t="s">
        <v>16</v>
      </c>
      <c r="D15" s="9" t="s">
        <v>17</v>
      </c>
      <c r="E15" s="9" t="s">
        <v>18</v>
      </c>
    </row>
    <row r="16" ht="19.5" customHeight="1">
      <c r="A16" s="1"/>
      <c r="B16" s="10" t="s">
        <v>19</v>
      </c>
      <c r="C16" s="11" t="s">
        <v>20</v>
      </c>
      <c r="D16" s="12" t="s">
        <v>11</v>
      </c>
      <c r="E16" s="11" t="s">
        <v>21</v>
      </c>
    </row>
    <row r="17" ht="19.5" customHeight="1">
      <c r="A17" s="1"/>
      <c r="B17" s="13" t="s">
        <v>22</v>
      </c>
      <c r="C17" s="14" t="s">
        <v>23</v>
      </c>
      <c r="D17" s="15" t="s">
        <v>11</v>
      </c>
      <c r="E17" s="14" t="s">
        <v>24</v>
      </c>
    </row>
    <row r="18" ht="19.5" customHeight="1">
      <c r="A18" s="1"/>
      <c r="B18" s="10" t="s">
        <v>25</v>
      </c>
      <c r="C18" s="11" t="s">
        <v>26</v>
      </c>
      <c r="D18" s="12" t="s">
        <v>11</v>
      </c>
      <c r="E18" s="11" t="s">
        <v>27</v>
      </c>
    </row>
    <row r="19" ht="19.5" customHeight="1">
      <c r="A19" s="1"/>
      <c r="B19" s="13" t="s">
        <v>28</v>
      </c>
      <c r="C19" s="14" t="s">
        <v>29</v>
      </c>
      <c r="D19" s="15" t="s">
        <v>11</v>
      </c>
      <c r="E19" s="14" t="s">
        <v>24</v>
      </c>
    </row>
    <row r="20" ht="19.5" customHeight="1">
      <c r="A20" s="1"/>
      <c r="B20" s="10" t="s">
        <v>30</v>
      </c>
      <c r="C20" s="11" t="s">
        <v>31</v>
      </c>
      <c r="D20" s="12" t="s">
        <v>11</v>
      </c>
      <c r="E20" s="11" t="s">
        <v>32</v>
      </c>
    </row>
    <row r="21" ht="19.5" customHeight="1">
      <c r="A21" s="1"/>
      <c r="B21" s="13" t="s">
        <v>33</v>
      </c>
      <c r="C21" s="14" t="s">
        <v>34</v>
      </c>
      <c r="D21" s="15" t="s">
        <v>11</v>
      </c>
      <c r="E21" s="14" t="s">
        <v>32</v>
      </c>
    </row>
    <row r="22" ht="19.5" customHeight="1">
      <c r="A22" s="1"/>
      <c r="B22" s="10" t="s">
        <v>35</v>
      </c>
      <c r="C22" s="11" t="s">
        <v>36</v>
      </c>
      <c r="D22" s="12" t="s">
        <v>11</v>
      </c>
      <c r="E22" s="11" t="s">
        <v>37</v>
      </c>
    </row>
    <row r="23" ht="15.75" customHeight="1">
      <c r="A23" s="1"/>
      <c r="B23" s="1"/>
      <c r="C23" s="1"/>
    </row>
    <row r="24" ht="21.75" customHeight="1">
      <c r="A24" s="1"/>
      <c r="B24" s="7" t="s">
        <v>38</v>
      </c>
      <c r="C24" s="8"/>
    </row>
    <row r="25" ht="18.0" customHeight="1">
      <c r="A25" s="1"/>
      <c r="B25" s="16" t="s">
        <v>39</v>
      </c>
      <c r="C25" s="17" t="s">
        <v>40</v>
      </c>
    </row>
    <row r="26" ht="18.0" customHeight="1">
      <c r="A26" s="1"/>
      <c r="B26" s="18" t="s">
        <v>39</v>
      </c>
      <c r="C26" s="17" t="s">
        <v>41</v>
      </c>
    </row>
    <row r="27" ht="18.0" customHeight="1">
      <c r="A27" s="1"/>
      <c r="B27" s="19" t="s">
        <v>39</v>
      </c>
      <c r="C27" s="17" t="s">
        <v>42</v>
      </c>
    </row>
    <row r="28" ht="18.0" customHeight="1">
      <c r="A28" s="1"/>
      <c r="B28" s="20" t="s">
        <v>39</v>
      </c>
      <c r="C28" s="17" t="s">
        <v>43</v>
      </c>
    </row>
    <row r="29" ht="18.0" customHeight="1">
      <c r="A29" s="1"/>
      <c r="B29" s="21" t="s">
        <v>39</v>
      </c>
      <c r="C29" s="17" t="s">
        <v>44</v>
      </c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mergeCells count="4">
    <mergeCell ref="B2:C2"/>
    <mergeCell ref="B3:C3"/>
    <mergeCell ref="B14:C14"/>
    <mergeCell ref="B24:C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8.0"/>
    <col customWidth="1" min="3" max="3" width="35.0"/>
    <col customWidth="1" min="4" max="4" width="18.0"/>
    <col customWidth="1" min="5" max="5" width="14.0"/>
    <col customWidth="1" min="6" max="6" width="35.0"/>
    <col customWidth="1" min="7" max="26" width="8.71"/>
  </cols>
  <sheetData>
    <row r="1" ht="27.75" customHeight="1">
      <c r="A1" s="1"/>
      <c r="B1" s="22" t="s">
        <v>45</v>
      </c>
      <c r="C1" s="23"/>
      <c r="D1" s="23"/>
      <c r="E1" s="23"/>
      <c r="F1" s="3"/>
    </row>
    <row r="2" ht="18.0" customHeight="1">
      <c r="A2" s="1"/>
      <c r="B2" s="24" t="s">
        <v>46</v>
      </c>
      <c r="C2" s="23"/>
      <c r="D2" s="23"/>
      <c r="E2" s="23"/>
      <c r="F2" s="3"/>
    </row>
    <row r="3" ht="15.0" customHeight="1">
      <c r="A3" s="1"/>
      <c r="B3" s="25" t="s">
        <v>47</v>
      </c>
      <c r="C3" s="25" t="s">
        <v>48</v>
      </c>
      <c r="D3" s="25" t="s">
        <v>49</v>
      </c>
      <c r="E3" s="25" t="s">
        <v>50</v>
      </c>
      <c r="F3" s="25" t="s">
        <v>51</v>
      </c>
    </row>
    <row r="4" ht="15.75" customHeight="1">
      <c r="A4" s="1"/>
      <c r="B4" s="26" t="s">
        <v>52</v>
      </c>
      <c r="C4" s="27" t="s">
        <v>53</v>
      </c>
      <c r="D4" s="26" t="s">
        <v>54</v>
      </c>
      <c r="E4" s="26" t="s">
        <v>55</v>
      </c>
      <c r="F4" s="26" t="s">
        <v>56</v>
      </c>
    </row>
    <row r="5" ht="15.75" customHeight="1">
      <c r="A5" s="1"/>
      <c r="B5" s="26" t="s">
        <v>57</v>
      </c>
      <c r="C5" s="27" t="s">
        <v>58</v>
      </c>
      <c r="D5" s="26" t="s">
        <v>54</v>
      </c>
      <c r="E5" s="26" t="s">
        <v>55</v>
      </c>
      <c r="F5" s="26" t="s">
        <v>56</v>
      </c>
    </row>
    <row r="6" ht="15.75" customHeight="1">
      <c r="A6" s="1"/>
      <c r="B6" s="26" t="s">
        <v>59</v>
      </c>
      <c r="C6" s="27" t="s">
        <v>60</v>
      </c>
      <c r="D6" s="26" t="s">
        <v>54</v>
      </c>
      <c r="E6" s="26" t="s">
        <v>55</v>
      </c>
      <c r="F6" s="26" t="s">
        <v>56</v>
      </c>
    </row>
    <row r="7" ht="15.75" customHeight="1">
      <c r="A7" s="1"/>
      <c r="B7" s="26" t="s">
        <v>61</v>
      </c>
      <c r="C7" s="27" t="s">
        <v>62</v>
      </c>
      <c r="D7" s="26" t="s">
        <v>54</v>
      </c>
      <c r="E7" s="26" t="s">
        <v>55</v>
      </c>
      <c r="F7" s="26" t="s">
        <v>56</v>
      </c>
    </row>
    <row r="8" ht="15.75" customHeight="1">
      <c r="A8" s="1"/>
      <c r="B8" s="28" t="s">
        <v>63</v>
      </c>
      <c r="C8" s="29" t="s">
        <v>64</v>
      </c>
      <c r="D8" s="28" t="s">
        <v>65</v>
      </c>
      <c r="E8" s="28" t="s">
        <v>55</v>
      </c>
      <c r="F8" s="28" t="s">
        <v>56</v>
      </c>
    </row>
    <row r="9" ht="15.75" customHeight="1">
      <c r="A9" s="1"/>
      <c r="B9" s="28" t="s">
        <v>66</v>
      </c>
      <c r="C9" s="29" t="s">
        <v>67</v>
      </c>
      <c r="D9" s="28" t="s">
        <v>65</v>
      </c>
      <c r="E9" s="28" t="s">
        <v>55</v>
      </c>
      <c r="F9" s="28" t="s">
        <v>56</v>
      </c>
    </row>
    <row r="10" ht="15.75" customHeight="1">
      <c r="A10" s="1"/>
      <c r="B10" s="28" t="s">
        <v>68</v>
      </c>
      <c r="C10" s="29" t="s">
        <v>69</v>
      </c>
      <c r="D10" s="28" t="s">
        <v>65</v>
      </c>
      <c r="E10" s="28" t="s">
        <v>70</v>
      </c>
      <c r="F10" s="28" t="s">
        <v>71</v>
      </c>
    </row>
    <row r="11" ht="15.75" customHeight="1">
      <c r="A11" s="1"/>
      <c r="B11" s="30" t="s">
        <v>72</v>
      </c>
      <c r="C11" s="31" t="s">
        <v>73</v>
      </c>
      <c r="D11" s="30" t="s">
        <v>74</v>
      </c>
      <c r="E11" s="30" t="s">
        <v>70</v>
      </c>
      <c r="F11" s="30" t="s">
        <v>75</v>
      </c>
    </row>
    <row r="12" ht="15.75" customHeight="1">
      <c r="A12" s="1"/>
      <c r="B12" s="30" t="s">
        <v>76</v>
      </c>
      <c r="C12" s="31" t="s">
        <v>77</v>
      </c>
      <c r="D12" s="30" t="s">
        <v>74</v>
      </c>
      <c r="E12" s="30" t="s">
        <v>70</v>
      </c>
      <c r="F12" s="30" t="s">
        <v>75</v>
      </c>
    </row>
    <row r="13" ht="15.75" customHeight="1">
      <c r="A13" s="1"/>
      <c r="B13" s="30" t="s">
        <v>78</v>
      </c>
      <c r="C13" s="31" t="s">
        <v>79</v>
      </c>
      <c r="D13" s="30" t="s">
        <v>74</v>
      </c>
      <c r="E13" s="30" t="s">
        <v>70</v>
      </c>
      <c r="F13" s="30" t="s">
        <v>75</v>
      </c>
    </row>
    <row r="14" ht="15.75" customHeight="1">
      <c r="A14" s="1"/>
      <c r="B14" s="30" t="s">
        <v>80</v>
      </c>
      <c r="C14" s="31" t="s">
        <v>81</v>
      </c>
      <c r="D14" s="30" t="s">
        <v>74</v>
      </c>
      <c r="E14" s="30" t="s">
        <v>70</v>
      </c>
      <c r="F14" s="30" t="s">
        <v>75</v>
      </c>
    </row>
    <row r="15" ht="15.75" customHeight="1">
      <c r="A15" s="1"/>
      <c r="B15" s="30" t="s">
        <v>82</v>
      </c>
      <c r="C15" s="31" t="s">
        <v>83</v>
      </c>
      <c r="D15" s="30" t="s">
        <v>74</v>
      </c>
      <c r="E15" s="30" t="s">
        <v>70</v>
      </c>
      <c r="F15" s="30" t="s">
        <v>75</v>
      </c>
    </row>
    <row r="16" ht="15.75" customHeight="1">
      <c r="A16" s="1"/>
      <c r="B16" s="30" t="s">
        <v>84</v>
      </c>
      <c r="C16" s="31" t="s">
        <v>85</v>
      </c>
      <c r="D16" s="30" t="s">
        <v>74</v>
      </c>
      <c r="E16" s="30" t="s">
        <v>70</v>
      </c>
      <c r="F16" s="30" t="s">
        <v>75</v>
      </c>
    </row>
    <row r="17" ht="15.75" customHeight="1">
      <c r="A17" s="1"/>
      <c r="B17" s="32" t="s">
        <v>86</v>
      </c>
      <c r="C17" s="33" t="s">
        <v>87</v>
      </c>
      <c r="D17" s="32" t="s">
        <v>88</v>
      </c>
      <c r="E17" s="32" t="s">
        <v>70</v>
      </c>
      <c r="F17" s="32" t="s">
        <v>89</v>
      </c>
    </row>
    <row r="18" ht="15.75" customHeight="1">
      <c r="A18" s="1"/>
      <c r="B18" s="32" t="s">
        <v>90</v>
      </c>
      <c r="C18" s="33" t="s">
        <v>91</v>
      </c>
      <c r="D18" s="32" t="s">
        <v>88</v>
      </c>
      <c r="E18" s="32" t="s">
        <v>70</v>
      </c>
      <c r="F18" s="32" t="s">
        <v>89</v>
      </c>
    </row>
    <row r="19" ht="15.75" customHeight="1">
      <c r="A19" s="1"/>
      <c r="B19" s="34" t="s">
        <v>92</v>
      </c>
      <c r="C19" s="35" t="s">
        <v>93</v>
      </c>
      <c r="D19" s="34" t="s">
        <v>94</v>
      </c>
      <c r="E19" s="34" t="s">
        <v>70</v>
      </c>
      <c r="F19" s="34" t="s">
        <v>95</v>
      </c>
    </row>
    <row r="20" ht="15.75" customHeight="1">
      <c r="A20" s="1"/>
      <c r="B20" s="36" t="s">
        <v>96</v>
      </c>
      <c r="C20" s="37" t="s">
        <v>97</v>
      </c>
      <c r="D20" s="36" t="s">
        <v>98</v>
      </c>
      <c r="E20" s="36" t="s">
        <v>55</v>
      </c>
      <c r="F20" s="36" t="s">
        <v>99</v>
      </c>
    </row>
    <row r="21" ht="15.75" customHeight="1">
      <c r="A21" s="1"/>
      <c r="B21" s="36" t="s">
        <v>100</v>
      </c>
      <c r="C21" s="37" t="s">
        <v>101</v>
      </c>
      <c r="D21" s="36" t="s">
        <v>98</v>
      </c>
      <c r="E21" s="36" t="s">
        <v>55</v>
      </c>
      <c r="F21" s="36" t="s">
        <v>99</v>
      </c>
    </row>
    <row r="22" ht="15.75" customHeight="1">
      <c r="A22" s="1"/>
      <c r="B22" s="36" t="s">
        <v>102</v>
      </c>
      <c r="C22" s="37" t="s">
        <v>103</v>
      </c>
      <c r="D22" s="36" t="s">
        <v>98</v>
      </c>
      <c r="E22" s="36" t="s">
        <v>55</v>
      </c>
      <c r="F22" s="36" t="s">
        <v>99</v>
      </c>
    </row>
    <row r="23" ht="15.75" customHeight="1">
      <c r="A23" s="1"/>
      <c r="B23" s="36" t="s">
        <v>104</v>
      </c>
      <c r="C23" s="37" t="s">
        <v>105</v>
      </c>
      <c r="D23" s="36" t="s">
        <v>98</v>
      </c>
      <c r="E23" s="36" t="s">
        <v>55</v>
      </c>
      <c r="F23" s="36" t="s">
        <v>99</v>
      </c>
    </row>
    <row r="24" ht="15.75" customHeight="1">
      <c r="A24" s="1"/>
      <c r="B24" s="36" t="s">
        <v>106</v>
      </c>
      <c r="C24" s="37" t="s">
        <v>107</v>
      </c>
      <c r="D24" s="36" t="s">
        <v>98</v>
      </c>
      <c r="E24" s="36" t="s">
        <v>55</v>
      </c>
      <c r="F24" s="36" t="s">
        <v>99</v>
      </c>
    </row>
    <row r="25" ht="15.75" customHeight="1">
      <c r="A25" s="1"/>
      <c r="B25" s="36" t="s">
        <v>108</v>
      </c>
      <c r="C25" s="37" t="s">
        <v>109</v>
      </c>
      <c r="D25" s="36" t="s">
        <v>98</v>
      </c>
      <c r="E25" s="36" t="s">
        <v>55</v>
      </c>
      <c r="F25" s="36" t="s">
        <v>99</v>
      </c>
    </row>
    <row r="26" ht="15.75" customHeight="1">
      <c r="A26" s="1"/>
      <c r="B26" s="36" t="s">
        <v>110</v>
      </c>
      <c r="C26" s="37" t="s">
        <v>111</v>
      </c>
      <c r="D26" s="36" t="s">
        <v>98</v>
      </c>
      <c r="E26" s="36" t="s">
        <v>55</v>
      </c>
      <c r="F26" s="36" t="s">
        <v>99</v>
      </c>
    </row>
    <row r="27" ht="15.75" customHeight="1">
      <c r="A27" s="1"/>
      <c r="B27" s="36" t="s">
        <v>112</v>
      </c>
      <c r="C27" s="37" t="s">
        <v>113</v>
      </c>
      <c r="D27" s="36" t="s">
        <v>98</v>
      </c>
      <c r="E27" s="36" t="s">
        <v>55</v>
      </c>
      <c r="F27" s="36" t="s">
        <v>99</v>
      </c>
    </row>
    <row r="28" ht="15.75" customHeight="1">
      <c r="A28" s="1"/>
      <c r="B28" s="36" t="s">
        <v>114</v>
      </c>
      <c r="C28" s="37" t="s">
        <v>115</v>
      </c>
      <c r="D28" s="36" t="s">
        <v>98</v>
      </c>
      <c r="E28" s="36" t="s">
        <v>55</v>
      </c>
      <c r="F28" s="36" t="s">
        <v>116</v>
      </c>
    </row>
    <row r="29" ht="15.75" customHeight="1">
      <c r="A29" s="1"/>
      <c r="B29" s="36" t="s">
        <v>117</v>
      </c>
      <c r="C29" s="37" t="s">
        <v>118</v>
      </c>
      <c r="D29" s="36" t="s">
        <v>98</v>
      </c>
      <c r="E29" s="36" t="s">
        <v>55</v>
      </c>
      <c r="F29" s="36" t="s">
        <v>99</v>
      </c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B1:F1"/>
    <mergeCell ref="B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6.0"/>
    <col customWidth="1" min="3" max="3" width="12.0"/>
    <col customWidth="1" min="4" max="4" width="8.0"/>
    <col customWidth="1" min="5" max="5" width="42.0"/>
    <col customWidth="1" min="6" max="7" width="28.0"/>
    <col customWidth="1" min="8" max="8" width="15.0"/>
    <col customWidth="1" min="9" max="9" width="12.0"/>
    <col customWidth="1" min="10" max="26" width="8.71"/>
  </cols>
  <sheetData>
    <row r="1" ht="27.75" customHeight="1">
      <c r="A1" s="1"/>
      <c r="B1" s="22" t="s">
        <v>119</v>
      </c>
      <c r="C1" s="23"/>
      <c r="D1" s="23"/>
      <c r="E1" s="23"/>
      <c r="F1" s="23"/>
      <c r="G1" s="23"/>
      <c r="H1" s="23"/>
      <c r="I1" s="3"/>
    </row>
    <row r="2" ht="21.75" customHeight="1">
      <c r="A2" s="1"/>
      <c r="B2" s="38" t="s">
        <v>120</v>
      </c>
      <c r="C2" s="23"/>
      <c r="D2" s="23"/>
      <c r="E2" s="23"/>
      <c r="F2" s="23"/>
      <c r="G2" s="23"/>
      <c r="H2" s="23"/>
      <c r="I2" s="3"/>
    </row>
    <row r="3" ht="21.75" customHeight="1">
      <c r="A3" s="1"/>
      <c r="B3" s="9" t="s">
        <v>121</v>
      </c>
      <c r="C3" s="9" t="s">
        <v>122</v>
      </c>
      <c r="D3" s="9" t="s">
        <v>123</v>
      </c>
      <c r="E3" s="9" t="s">
        <v>124</v>
      </c>
      <c r="F3" s="9" t="s">
        <v>125</v>
      </c>
      <c r="G3" s="9" t="s">
        <v>126</v>
      </c>
      <c r="H3" s="9" t="s">
        <v>127</v>
      </c>
      <c r="I3" s="9" t="s">
        <v>128</v>
      </c>
      <c r="J3" s="9" t="s">
        <v>129</v>
      </c>
    </row>
    <row r="4" ht="19.5" customHeight="1">
      <c r="A4" s="1"/>
      <c r="B4" s="39" t="s">
        <v>130</v>
      </c>
      <c r="C4" s="23"/>
      <c r="D4" s="23"/>
      <c r="E4" s="23"/>
      <c r="F4" s="23"/>
      <c r="G4" s="23"/>
      <c r="H4" s="23"/>
      <c r="I4" s="23"/>
      <c r="J4" s="3"/>
    </row>
    <row r="5" ht="15.75" customHeight="1">
      <c r="A5" s="1"/>
      <c r="B5" s="40" t="s">
        <v>131</v>
      </c>
      <c r="C5" s="41" t="s">
        <v>132</v>
      </c>
      <c r="D5" s="42">
        <v>46143.0</v>
      </c>
      <c r="E5" s="41" t="s">
        <v>133</v>
      </c>
      <c r="F5" s="43" t="s">
        <v>134</v>
      </c>
      <c r="G5" s="44" t="s">
        <v>58</v>
      </c>
      <c r="H5" s="44" t="s">
        <v>87</v>
      </c>
      <c r="I5" s="45">
        <v>100000.0</v>
      </c>
      <c r="J5" s="46" t="s">
        <v>135</v>
      </c>
    </row>
    <row r="6" ht="15.75" customHeight="1">
      <c r="A6" s="1"/>
      <c r="B6" s="40" t="s">
        <v>131</v>
      </c>
      <c r="C6" s="47" t="s">
        <v>136</v>
      </c>
      <c r="D6" s="42">
        <v>46144.0</v>
      </c>
      <c r="E6" s="47" t="s">
        <v>137</v>
      </c>
      <c r="F6" s="48" t="s">
        <v>138</v>
      </c>
      <c r="G6" s="44" t="s">
        <v>64</v>
      </c>
      <c r="H6" s="44" t="s">
        <v>58</v>
      </c>
      <c r="I6" s="49">
        <v>8000.0</v>
      </c>
      <c r="J6" s="50" t="s">
        <v>139</v>
      </c>
    </row>
    <row r="7" ht="15.75" customHeight="1">
      <c r="A7" s="1"/>
      <c r="B7" s="40" t="s">
        <v>131</v>
      </c>
      <c r="C7" s="41" t="s">
        <v>140</v>
      </c>
      <c r="D7" s="51" t="s">
        <v>141</v>
      </c>
      <c r="E7" s="41" t="s">
        <v>142</v>
      </c>
      <c r="F7" s="43" t="s">
        <v>143</v>
      </c>
      <c r="G7" s="44" t="s">
        <v>107</v>
      </c>
      <c r="H7" s="44" t="s">
        <v>58</v>
      </c>
      <c r="I7" s="49">
        <v>1200.0</v>
      </c>
      <c r="J7" s="52" t="s">
        <v>144</v>
      </c>
    </row>
    <row r="8" ht="15.75" customHeight="1">
      <c r="A8" s="1"/>
      <c r="B8" s="40" t="s">
        <v>131</v>
      </c>
      <c r="C8" s="47" t="s">
        <v>145</v>
      </c>
      <c r="D8" s="51" t="s">
        <v>146</v>
      </c>
      <c r="E8" s="47" t="s">
        <v>142</v>
      </c>
      <c r="F8" s="53" t="s">
        <v>147</v>
      </c>
      <c r="G8" s="44" t="s">
        <v>118</v>
      </c>
      <c r="H8" s="44" t="s">
        <v>58</v>
      </c>
      <c r="I8" s="49">
        <v>350.0</v>
      </c>
      <c r="J8" s="50" t="s">
        <v>148</v>
      </c>
    </row>
    <row r="9" ht="15.75" customHeight="1">
      <c r="A9" s="1"/>
      <c r="B9" s="40" t="s">
        <v>131</v>
      </c>
      <c r="C9" s="41" t="s">
        <v>149</v>
      </c>
      <c r="D9" s="51" t="s">
        <v>150</v>
      </c>
      <c r="E9" s="41" t="s">
        <v>151</v>
      </c>
      <c r="F9" s="43" t="s">
        <v>152</v>
      </c>
      <c r="G9" s="44" t="s">
        <v>58</v>
      </c>
      <c r="H9" s="44" t="s">
        <v>93</v>
      </c>
      <c r="I9" s="49">
        <v>5000.0</v>
      </c>
      <c r="J9" s="52" t="s">
        <v>153</v>
      </c>
    </row>
    <row r="10" ht="15.75" customHeight="1">
      <c r="A10" s="1"/>
      <c r="B10" s="40" t="s">
        <v>131</v>
      </c>
      <c r="C10" s="47" t="s">
        <v>154</v>
      </c>
      <c r="D10" s="42">
        <v>46150.0</v>
      </c>
      <c r="E10" s="47" t="s">
        <v>155</v>
      </c>
      <c r="F10" s="48" t="s">
        <v>156</v>
      </c>
      <c r="G10" s="44" t="s">
        <v>60</v>
      </c>
      <c r="H10" s="44" t="s">
        <v>93</v>
      </c>
      <c r="I10" s="49">
        <v>12000.0</v>
      </c>
      <c r="J10" s="50" t="s">
        <v>157</v>
      </c>
    </row>
    <row r="11" ht="15.75" customHeight="1">
      <c r="A11" s="1"/>
      <c r="B11" s="40" t="s">
        <v>131</v>
      </c>
      <c r="C11" s="41" t="s">
        <v>158</v>
      </c>
      <c r="D11" s="51" t="s">
        <v>159</v>
      </c>
      <c r="E11" s="41" t="s">
        <v>160</v>
      </c>
      <c r="F11" s="43" t="s">
        <v>161</v>
      </c>
      <c r="G11" s="44" t="s">
        <v>97</v>
      </c>
      <c r="H11" s="44" t="s">
        <v>58</v>
      </c>
      <c r="I11" s="49">
        <v>2500.0</v>
      </c>
      <c r="J11" s="52" t="s">
        <v>162</v>
      </c>
    </row>
    <row r="12" ht="15.75" customHeight="1">
      <c r="A12" s="1"/>
      <c r="B12" s="40" t="s">
        <v>131</v>
      </c>
      <c r="C12" s="47" t="s">
        <v>163</v>
      </c>
      <c r="D12" s="51" t="s">
        <v>159</v>
      </c>
      <c r="E12" s="47" t="s">
        <v>160</v>
      </c>
      <c r="F12" s="53" t="s">
        <v>164</v>
      </c>
      <c r="G12" s="44" t="s">
        <v>101</v>
      </c>
      <c r="H12" s="44" t="s">
        <v>77</v>
      </c>
      <c r="I12" s="49">
        <v>200.0</v>
      </c>
      <c r="J12" s="50" t="s">
        <v>165</v>
      </c>
    </row>
    <row r="13" ht="15.75" customHeight="1">
      <c r="A13" s="1"/>
      <c r="B13" s="40" t="s">
        <v>131</v>
      </c>
      <c r="C13" s="41" t="s">
        <v>166</v>
      </c>
      <c r="D13" s="51" t="s">
        <v>159</v>
      </c>
      <c r="E13" s="41" t="s">
        <v>160</v>
      </c>
      <c r="F13" s="54" t="s">
        <v>167</v>
      </c>
      <c r="G13" s="44" t="s">
        <v>103</v>
      </c>
      <c r="H13" s="44" t="s">
        <v>79</v>
      </c>
      <c r="I13" s="49">
        <v>500.0</v>
      </c>
      <c r="J13" s="52" t="s">
        <v>168</v>
      </c>
    </row>
    <row r="14" ht="15.75" customHeight="1">
      <c r="A14" s="1"/>
      <c r="B14" s="40" t="s">
        <v>131</v>
      </c>
      <c r="C14" s="47" t="s">
        <v>169</v>
      </c>
      <c r="D14" s="51" t="s">
        <v>159</v>
      </c>
      <c r="E14" s="47" t="s">
        <v>160</v>
      </c>
      <c r="F14" s="48" t="s">
        <v>170</v>
      </c>
      <c r="G14" s="44" t="s">
        <v>105</v>
      </c>
      <c r="H14" s="44" t="s">
        <v>58</v>
      </c>
      <c r="I14" s="49">
        <v>2490.0</v>
      </c>
      <c r="J14" s="50" t="s">
        <v>171</v>
      </c>
    </row>
    <row r="15" ht="15.75" customHeight="1">
      <c r="A15" s="1"/>
      <c r="B15" s="40" t="s">
        <v>131</v>
      </c>
      <c r="C15" s="41" t="s">
        <v>172</v>
      </c>
      <c r="D15" s="51" t="s">
        <v>159</v>
      </c>
      <c r="E15" s="41" t="s">
        <v>160</v>
      </c>
      <c r="F15" s="54" t="s">
        <v>173</v>
      </c>
      <c r="G15" s="44" t="s">
        <v>103</v>
      </c>
      <c r="H15" s="44" t="s">
        <v>79</v>
      </c>
      <c r="I15" s="49">
        <v>510.0</v>
      </c>
      <c r="J15" s="52" t="s">
        <v>174</v>
      </c>
    </row>
    <row r="16" ht="15.75" customHeight="1">
      <c r="A16" s="1"/>
      <c r="B16" s="40" t="s">
        <v>131</v>
      </c>
      <c r="C16" s="47" t="s">
        <v>175</v>
      </c>
      <c r="D16" s="51" t="s">
        <v>159</v>
      </c>
      <c r="E16" s="47" t="s">
        <v>142</v>
      </c>
      <c r="F16" s="53" t="s">
        <v>176</v>
      </c>
      <c r="G16" s="44" t="s">
        <v>111</v>
      </c>
      <c r="H16" s="44" t="s">
        <v>58</v>
      </c>
      <c r="I16" s="49">
        <v>320.0</v>
      </c>
      <c r="J16" s="50" t="s">
        <v>177</v>
      </c>
    </row>
    <row r="17" ht="15.75" customHeight="1">
      <c r="A17" s="1"/>
      <c r="B17" s="40" t="s">
        <v>131</v>
      </c>
      <c r="C17" s="41" t="s">
        <v>178</v>
      </c>
      <c r="D17" s="51" t="s">
        <v>159</v>
      </c>
      <c r="E17" s="41" t="s">
        <v>142</v>
      </c>
      <c r="F17" s="54" t="s">
        <v>179</v>
      </c>
      <c r="G17" s="44" t="s">
        <v>109</v>
      </c>
      <c r="H17" s="44" t="s">
        <v>58</v>
      </c>
      <c r="I17" s="49">
        <v>280.0</v>
      </c>
      <c r="J17" s="52" t="s">
        <v>180</v>
      </c>
    </row>
    <row r="18" ht="15.75" customHeight="1">
      <c r="A18" s="1"/>
      <c r="B18" s="40" t="s">
        <v>131</v>
      </c>
      <c r="C18" s="47" t="s">
        <v>181</v>
      </c>
      <c r="D18" s="51" t="s">
        <v>182</v>
      </c>
      <c r="E18" s="47" t="s">
        <v>151</v>
      </c>
      <c r="F18" s="53" t="s">
        <v>183</v>
      </c>
      <c r="G18" s="44" t="s">
        <v>58</v>
      </c>
      <c r="H18" s="44" t="s">
        <v>60</v>
      </c>
      <c r="I18" s="49">
        <v>6000.0</v>
      </c>
      <c r="J18" s="50" t="s">
        <v>184</v>
      </c>
    </row>
    <row r="19" ht="15.75" customHeight="1">
      <c r="A19" s="1"/>
      <c r="B19" s="40" t="s">
        <v>131</v>
      </c>
      <c r="C19" s="41" t="s">
        <v>185</v>
      </c>
      <c r="D19" s="51" t="s">
        <v>159</v>
      </c>
      <c r="E19" s="41" t="s">
        <v>186</v>
      </c>
      <c r="F19" s="54" t="s">
        <v>187</v>
      </c>
      <c r="G19" s="44" t="s">
        <v>115</v>
      </c>
      <c r="H19" s="44" t="s">
        <v>73</v>
      </c>
      <c r="I19" s="49">
        <v>1020.0</v>
      </c>
      <c r="J19" s="52" t="s">
        <v>188</v>
      </c>
    </row>
    <row r="20" ht="15.75" customHeight="1">
      <c r="A20" s="1"/>
      <c r="B20" s="40" t="s">
        <v>131</v>
      </c>
      <c r="C20" s="47" t="s">
        <v>189</v>
      </c>
      <c r="D20" s="51" t="s">
        <v>159</v>
      </c>
      <c r="E20" s="47" t="s">
        <v>190</v>
      </c>
      <c r="F20" s="53" t="s">
        <v>191</v>
      </c>
      <c r="G20" s="44" t="s">
        <v>113</v>
      </c>
      <c r="H20" s="44" t="s">
        <v>69</v>
      </c>
      <c r="I20" s="49">
        <v>133.0</v>
      </c>
      <c r="J20" s="50" t="s">
        <v>192</v>
      </c>
    </row>
    <row r="21" ht="19.5" customHeight="1">
      <c r="A21" s="1"/>
      <c r="B21" s="39" t="s">
        <v>193</v>
      </c>
      <c r="C21" s="23"/>
      <c r="D21" s="23"/>
      <c r="E21" s="23"/>
      <c r="F21" s="23"/>
      <c r="G21" s="23"/>
      <c r="H21" s="23"/>
      <c r="I21" s="23"/>
      <c r="J21" s="3"/>
    </row>
    <row r="22" ht="15.75" customHeight="1">
      <c r="A22" s="1"/>
      <c r="B22" s="40" t="s">
        <v>194</v>
      </c>
      <c r="C22" s="47" t="s">
        <v>195</v>
      </c>
      <c r="D22" s="51" t="s">
        <v>196</v>
      </c>
      <c r="E22" s="47" t="s">
        <v>151</v>
      </c>
      <c r="F22" s="48" t="s">
        <v>152</v>
      </c>
      <c r="G22" s="44" t="s">
        <v>58</v>
      </c>
      <c r="H22" s="44" t="s">
        <v>93</v>
      </c>
      <c r="I22" s="49">
        <v>8500.0</v>
      </c>
      <c r="J22" s="50" t="s">
        <v>197</v>
      </c>
    </row>
    <row r="23" ht="15.75" customHeight="1">
      <c r="A23" s="1"/>
      <c r="B23" s="40" t="s">
        <v>194</v>
      </c>
      <c r="C23" s="41" t="s">
        <v>198</v>
      </c>
      <c r="D23" s="51" t="s">
        <v>199</v>
      </c>
      <c r="E23" s="41" t="s">
        <v>155</v>
      </c>
      <c r="F23" s="54" t="s">
        <v>200</v>
      </c>
      <c r="G23" s="44" t="s">
        <v>60</v>
      </c>
      <c r="H23" s="44" t="s">
        <v>93</v>
      </c>
      <c r="I23" s="49">
        <v>15000.0</v>
      </c>
      <c r="J23" s="52" t="s">
        <v>201</v>
      </c>
    </row>
    <row r="24" ht="15.75" customHeight="1">
      <c r="A24" s="1"/>
      <c r="B24" s="40" t="s">
        <v>194</v>
      </c>
      <c r="C24" s="47" t="s">
        <v>202</v>
      </c>
      <c r="D24" s="51" t="s">
        <v>199</v>
      </c>
      <c r="E24" s="47" t="s">
        <v>151</v>
      </c>
      <c r="F24" s="53" t="s">
        <v>203</v>
      </c>
      <c r="G24" s="44" t="s">
        <v>58</v>
      </c>
      <c r="H24" s="44" t="s">
        <v>60</v>
      </c>
      <c r="I24" s="49">
        <v>6000.0</v>
      </c>
      <c r="J24" s="50" t="s">
        <v>204</v>
      </c>
    </row>
    <row r="25" ht="15.75" customHeight="1">
      <c r="A25" s="1"/>
      <c r="B25" s="40" t="s">
        <v>194</v>
      </c>
      <c r="C25" s="41" t="s">
        <v>205</v>
      </c>
      <c r="D25" s="51" t="s">
        <v>206</v>
      </c>
      <c r="E25" s="41" t="s">
        <v>160</v>
      </c>
      <c r="F25" s="54" t="s">
        <v>207</v>
      </c>
      <c r="G25" s="44" t="s">
        <v>97</v>
      </c>
      <c r="H25" s="44" t="s">
        <v>58</v>
      </c>
      <c r="I25" s="49">
        <v>2500.0</v>
      </c>
      <c r="J25" s="52" t="s">
        <v>208</v>
      </c>
    </row>
    <row r="26" ht="15.75" customHeight="1">
      <c r="A26" s="1"/>
      <c r="B26" s="40" t="s">
        <v>194</v>
      </c>
      <c r="C26" s="47" t="s">
        <v>209</v>
      </c>
      <c r="D26" s="51" t="s">
        <v>206</v>
      </c>
      <c r="E26" s="47" t="s">
        <v>160</v>
      </c>
      <c r="F26" s="53" t="s">
        <v>210</v>
      </c>
      <c r="G26" s="44" t="s">
        <v>103</v>
      </c>
      <c r="H26" s="44" t="s">
        <v>79</v>
      </c>
      <c r="I26" s="49">
        <v>700.0</v>
      </c>
      <c r="J26" s="50" t="s">
        <v>211</v>
      </c>
    </row>
    <row r="27" ht="15.75" customHeight="1">
      <c r="A27" s="1"/>
      <c r="B27" s="40" t="s">
        <v>194</v>
      </c>
      <c r="C27" s="41" t="s">
        <v>212</v>
      </c>
      <c r="D27" s="51" t="s">
        <v>206</v>
      </c>
      <c r="E27" s="41" t="s">
        <v>160</v>
      </c>
      <c r="F27" s="43" t="s">
        <v>213</v>
      </c>
      <c r="G27" s="44" t="s">
        <v>105</v>
      </c>
      <c r="H27" s="44" t="s">
        <v>58</v>
      </c>
      <c r="I27" s="49">
        <v>2490.0</v>
      </c>
      <c r="J27" s="52" t="s">
        <v>214</v>
      </c>
    </row>
    <row r="28" ht="15.75" customHeight="1">
      <c r="A28" s="1"/>
      <c r="B28" s="40" t="s">
        <v>194</v>
      </c>
      <c r="C28" s="47" t="s">
        <v>215</v>
      </c>
      <c r="D28" s="51" t="s">
        <v>206</v>
      </c>
      <c r="E28" s="47" t="s">
        <v>142</v>
      </c>
      <c r="F28" s="48" t="s">
        <v>216</v>
      </c>
      <c r="G28" s="44" t="s">
        <v>107</v>
      </c>
      <c r="H28" s="44" t="s">
        <v>58</v>
      </c>
      <c r="I28" s="49">
        <v>1200.0</v>
      </c>
      <c r="J28" s="50" t="s">
        <v>217</v>
      </c>
    </row>
    <row r="29" ht="15.75" customHeight="1">
      <c r="A29" s="1"/>
      <c r="B29" s="40" t="s">
        <v>194</v>
      </c>
      <c r="C29" s="41" t="s">
        <v>218</v>
      </c>
      <c r="D29" s="51" t="s">
        <v>206</v>
      </c>
      <c r="E29" s="41" t="s">
        <v>142</v>
      </c>
      <c r="F29" s="54" t="s">
        <v>219</v>
      </c>
      <c r="G29" s="44" t="s">
        <v>109</v>
      </c>
      <c r="H29" s="44" t="s">
        <v>58</v>
      </c>
      <c r="I29" s="49">
        <v>600.0</v>
      </c>
      <c r="J29" s="52" t="s">
        <v>220</v>
      </c>
    </row>
    <row r="30" ht="15.75" customHeight="1">
      <c r="A30" s="1"/>
      <c r="B30" s="40" t="s">
        <v>194</v>
      </c>
      <c r="C30" s="47" t="s">
        <v>221</v>
      </c>
      <c r="D30" s="51" t="s">
        <v>199</v>
      </c>
      <c r="E30" s="47" t="s">
        <v>222</v>
      </c>
      <c r="F30" s="53" t="s">
        <v>223</v>
      </c>
      <c r="G30" s="44" t="s">
        <v>73</v>
      </c>
      <c r="H30" s="44" t="s">
        <v>58</v>
      </c>
      <c r="I30" s="49">
        <v>1020.0</v>
      </c>
      <c r="J30" s="50" t="s">
        <v>224</v>
      </c>
    </row>
    <row r="31" ht="15.75" customHeight="1">
      <c r="A31" s="1"/>
      <c r="B31" s="40" t="s">
        <v>194</v>
      </c>
      <c r="C31" s="41" t="s">
        <v>225</v>
      </c>
      <c r="D31" s="51" t="s">
        <v>199</v>
      </c>
      <c r="E31" s="41" t="s">
        <v>222</v>
      </c>
      <c r="F31" s="54" t="s">
        <v>226</v>
      </c>
      <c r="G31" s="44" t="s">
        <v>77</v>
      </c>
      <c r="H31" s="44" t="s">
        <v>58</v>
      </c>
      <c r="I31" s="49">
        <v>1210.0</v>
      </c>
      <c r="J31" s="52" t="s">
        <v>227</v>
      </c>
    </row>
    <row r="32" ht="15.75" customHeight="1">
      <c r="A32" s="1"/>
      <c r="B32" s="40" t="s">
        <v>194</v>
      </c>
      <c r="C32" s="47" t="s">
        <v>228</v>
      </c>
      <c r="D32" s="51" t="s">
        <v>229</v>
      </c>
      <c r="E32" s="47" t="s">
        <v>137</v>
      </c>
      <c r="F32" s="53" t="s">
        <v>230</v>
      </c>
      <c r="G32" s="44" t="s">
        <v>67</v>
      </c>
      <c r="H32" s="44" t="s">
        <v>58</v>
      </c>
      <c r="I32" s="49">
        <v>1500.0</v>
      </c>
      <c r="J32" s="50" t="s">
        <v>231</v>
      </c>
    </row>
    <row r="33" ht="15.75" customHeight="1">
      <c r="A33" s="1"/>
      <c r="B33" s="40" t="s">
        <v>194</v>
      </c>
      <c r="C33" s="41" t="s">
        <v>232</v>
      </c>
      <c r="D33" s="51" t="s">
        <v>206</v>
      </c>
      <c r="E33" s="41" t="s">
        <v>186</v>
      </c>
      <c r="F33" s="54" t="s">
        <v>233</v>
      </c>
      <c r="G33" s="44" t="s">
        <v>115</v>
      </c>
      <c r="H33" s="44" t="s">
        <v>73</v>
      </c>
      <c r="I33" s="49">
        <v>1410.0</v>
      </c>
      <c r="J33" s="52" t="s">
        <v>234</v>
      </c>
    </row>
    <row r="34" ht="15.75" customHeight="1">
      <c r="A34" s="1"/>
      <c r="B34" s="40" t="s">
        <v>194</v>
      </c>
      <c r="C34" s="47" t="s">
        <v>235</v>
      </c>
      <c r="D34" s="51" t="s">
        <v>206</v>
      </c>
      <c r="E34" s="47" t="s">
        <v>190</v>
      </c>
      <c r="F34" s="53" t="s">
        <v>236</v>
      </c>
      <c r="G34" s="44" t="s">
        <v>113</v>
      </c>
      <c r="H34" s="44" t="s">
        <v>69</v>
      </c>
      <c r="I34" s="49">
        <v>158.0</v>
      </c>
      <c r="J34" s="50" t="s">
        <v>237</v>
      </c>
    </row>
    <row r="35" ht="19.5" customHeight="1">
      <c r="A35" s="1"/>
      <c r="B35" s="39" t="s">
        <v>238</v>
      </c>
      <c r="C35" s="23"/>
      <c r="D35" s="23"/>
      <c r="E35" s="23"/>
      <c r="F35" s="23"/>
      <c r="G35" s="23"/>
      <c r="H35" s="23"/>
      <c r="I35" s="23"/>
      <c r="J35" s="3"/>
    </row>
    <row r="36" ht="15.75" customHeight="1">
      <c r="A36" s="1"/>
      <c r="B36" s="40" t="s">
        <v>239</v>
      </c>
      <c r="C36" s="47" t="s">
        <v>240</v>
      </c>
      <c r="D36" s="51" t="s">
        <v>241</v>
      </c>
      <c r="E36" s="47" t="s">
        <v>151</v>
      </c>
      <c r="F36" s="53" t="s">
        <v>242</v>
      </c>
      <c r="G36" s="44" t="s">
        <v>58</v>
      </c>
      <c r="H36" s="44" t="s">
        <v>93</v>
      </c>
      <c r="I36" s="49">
        <v>10000.0</v>
      </c>
      <c r="J36" s="50" t="s">
        <v>243</v>
      </c>
    </row>
    <row r="37" ht="15.75" customHeight="1">
      <c r="A37" s="1"/>
      <c r="B37" s="40" t="s">
        <v>239</v>
      </c>
      <c r="C37" s="41" t="s">
        <v>244</v>
      </c>
      <c r="D37" s="51" t="s">
        <v>241</v>
      </c>
      <c r="E37" s="41" t="s">
        <v>155</v>
      </c>
      <c r="F37" s="54" t="s">
        <v>245</v>
      </c>
      <c r="G37" s="44" t="s">
        <v>60</v>
      </c>
      <c r="H37" s="44" t="s">
        <v>93</v>
      </c>
      <c r="I37" s="49">
        <v>18200.0</v>
      </c>
      <c r="J37" s="52" t="s">
        <v>246</v>
      </c>
    </row>
    <row r="38" ht="15.75" customHeight="1">
      <c r="A38" s="1"/>
      <c r="B38" s="40" t="s">
        <v>239</v>
      </c>
      <c r="C38" s="47" t="s">
        <v>247</v>
      </c>
      <c r="D38" s="51" t="s">
        <v>248</v>
      </c>
      <c r="E38" s="47" t="s">
        <v>160</v>
      </c>
      <c r="F38" s="53" t="s">
        <v>249</v>
      </c>
      <c r="G38" s="44" t="s">
        <v>97</v>
      </c>
      <c r="H38" s="44" t="s">
        <v>58</v>
      </c>
      <c r="I38" s="49">
        <v>5500.0</v>
      </c>
      <c r="J38" s="50" t="s">
        <v>250</v>
      </c>
    </row>
    <row r="39" ht="15.75" customHeight="1">
      <c r="A39" s="1"/>
      <c r="B39" s="40" t="s">
        <v>239</v>
      </c>
      <c r="C39" s="41" t="s">
        <v>251</v>
      </c>
      <c r="D39" s="51" t="s">
        <v>248</v>
      </c>
      <c r="E39" s="41" t="s">
        <v>160</v>
      </c>
      <c r="F39" s="54" t="s">
        <v>252</v>
      </c>
      <c r="G39" s="44" t="s">
        <v>103</v>
      </c>
      <c r="H39" s="44" t="s">
        <v>79</v>
      </c>
      <c r="I39" s="49">
        <v>1540.0</v>
      </c>
      <c r="J39" s="52" t="s">
        <v>253</v>
      </c>
    </row>
    <row r="40" ht="15.75" customHeight="1">
      <c r="A40" s="1"/>
      <c r="B40" s="40" t="s">
        <v>239</v>
      </c>
      <c r="C40" s="47" t="s">
        <v>254</v>
      </c>
      <c r="D40" s="51" t="s">
        <v>248</v>
      </c>
      <c r="E40" s="47" t="s">
        <v>160</v>
      </c>
      <c r="F40" s="48" t="s">
        <v>255</v>
      </c>
      <c r="G40" s="44" t="s">
        <v>105</v>
      </c>
      <c r="H40" s="44" t="s">
        <v>58</v>
      </c>
      <c r="I40" s="49">
        <v>2490.0</v>
      </c>
      <c r="J40" s="50" t="s">
        <v>214</v>
      </c>
    </row>
    <row r="41" ht="15.75" customHeight="1">
      <c r="A41" s="1"/>
      <c r="B41" s="40" t="s">
        <v>239</v>
      </c>
      <c r="C41" s="41" t="s">
        <v>256</v>
      </c>
      <c r="D41" s="51" t="s">
        <v>248</v>
      </c>
      <c r="E41" s="41" t="s">
        <v>142</v>
      </c>
      <c r="F41" s="54" t="s">
        <v>257</v>
      </c>
      <c r="G41" s="44" t="s">
        <v>107</v>
      </c>
      <c r="H41" s="44" t="s">
        <v>58</v>
      </c>
      <c r="I41" s="49">
        <v>1200.0</v>
      </c>
      <c r="J41" s="52" t="s">
        <v>217</v>
      </c>
    </row>
    <row r="42" ht="15.75" customHeight="1">
      <c r="A42" s="1"/>
      <c r="B42" s="40" t="s">
        <v>239</v>
      </c>
      <c r="C42" s="47" t="s">
        <v>258</v>
      </c>
      <c r="D42" s="51" t="s">
        <v>248</v>
      </c>
      <c r="E42" s="47" t="s">
        <v>142</v>
      </c>
      <c r="F42" s="53" t="s">
        <v>259</v>
      </c>
      <c r="G42" s="44" t="s">
        <v>109</v>
      </c>
      <c r="H42" s="44" t="s">
        <v>58</v>
      </c>
      <c r="I42" s="49">
        <v>650.0</v>
      </c>
      <c r="J42" s="50" t="s">
        <v>220</v>
      </c>
    </row>
    <row r="43" ht="15.75" customHeight="1">
      <c r="A43" s="1"/>
      <c r="B43" s="40" t="s">
        <v>239</v>
      </c>
      <c r="C43" s="41" t="s">
        <v>260</v>
      </c>
      <c r="D43" s="51" t="s">
        <v>241</v>
      </c>
      <c r="E43" s="41" t="s">
        <v>222</v>
      </c>
      <c r="F43" s="54" t="s">
        <v>261</v>
      </c>
      <c r="G43" s="44" t="s">
        <v>73</v>
      </c>
      <c r="H43" s="44" t="s">
        <v>58</v>
      </c>
      <c r="I43" s="49">
        <v>1410.0</v>
      </c>
      <c r="J43" s="52" t="s">
        <v>262</v>
      </c>
    </row>
    <row r="44" ht="15.75" customHeight="1">
      <c r="A44" s="1"/>
      <c r="B44" s="40" t="s">
        <v>239</v>
      </c>
      <c r="C44" s="47" t="s">
        <v>263</v>
      </c>
      <c r="D44" s="51" t="s">
        <v>241</v>
      </c>
      <c r="E44" s="47" t="s">
        <v>137</v>
      </c>
      <c r="F44" s="53" t="s">
        <v>264</v>
      </c>
      <c r="G44" s="44" t="s">
        <v>67</v>
      </c>
      <c r="H44" s="44" t="s">
        <v>58</v>
      </c>
      <c r="I44" s="49">
        <v>800.0</v>
      </c>
      <c r="J44" s="50" t="s">
        <v>265</v>
      </c>
    </row>
    <row r="45" ht="15.75" customHeight="1">
      <c r="A45" s="1"/>
      <c r="B45" s="40" t="s">
        <v>239</v>
      </c>
      <c r="C45" s="41" t="s">
        <v>266</v>
      </c>
      <c r="D45" s="51" t="s">
        <v>248</v>
      </c>
      <c r="E45" s="41" t="s">
        <v>186</v>
      </c>
      <c r="F45" s="54" t="s">
        <v>267</v>
      </c>
      <c r="G45" s="44" t="s">
        <v>115</v>
      </c>
      <c r="H45" s="44" t="s">
        <v>73</v>
      </c>
      <c r="I45" s="49">
        <v>1692.0</v>
      </c>
      <c r="J45" s="52" t="s">
        <v>268</v>
      </c>
    </row>
    <row r="46" ht="15.75" customHeight="1">
      <c r="A46" s="1"/>
      <c r="B46" s="40" t="s">
        <v>239</v>
      </c>
      <c r="C46" s="47" t="s">
        <v>269</v>
      </c>
      <c r="D46" s="51" t="s">
        <v>248</v>
      </c>
      <c r="E46" s="47" t="s">
        <v>190</v>
      </c>
      <c r="F46" s="53" t="s">
        <v>270</v>
      </c>
      <c r="G46" s="44" t="s">
        <v>113</v>
      </c>
      <c r="H46" s="44" t="s">
        <v>69</v>
      </c>
      <c r="I46" s="49">
        <v>171.0</v>
      </c>
      <c r="J46" s="50" t="s">
        <v>271</v>
      </c>
    </row>
    <row r="47" ht="3.0" customHeight="1">
      <c r="A47" s="1"/>
      <c r="B47" s="1"/>
      <c r="C47" s="1"/>
      <c r="D47" s="1"/>
      <c r="E47" s="1"/>
      <c r="F47" s="1"/>
      <c r="G47" s="1"/>
      <c r="H47" s="1"/>
      <c r="I47" s="1"/>
    </row>
    <row r="48" ht="15.0" customHeight="1">
      <c r="A48" s="1"/>
      <c r="B48" s="55" t="s">
        <v>272</v>
      </c>
      <c r="C48" s="23"/>
      <c r="D48" s="23"/>
      <c r="E48" s="23"/>
      <c r="F48" s="23"/>
      <c r="G48" s="23"/>
      <c r="H48" s="3"/>
      <c r="I48" s="56">
        <f>SUM(I4:I46)</f>
        <v>226444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8.0" customHeight="1">
      <c r="A50" s="1"/>
      <c r="B50" s="57" t="s">
        <v>273</v>
      </c>
      <c r="C50" s="23"/>
      <c r="D50" s="23"/>
      <c r="E50" s="23"/>
      <c r="F50" s="23"/>
      <c r="G50" s="23"/>
      <c r="H50" s="23"/>
      <c r="I50" s="23"/>
      <c r="J50" s="3"/>
    </row>
    <row r="51" ht="15.75" customHeight="1">
      <c r="A51" s="1"/>
      <c r="B51" s="58"/>
      <c r="C51" s="58"/>
      <c r="D51" s="58"/>
      <c r="E51" s="58"/>
      <c r="F51" s="58"/>
      <c r="G51" s="58"/>
      <c r="H51" s="58"/>
      <c r="I51" s="59"/>
      <c r="J51" s="58"/>
    </row>
    <row r="52" ht="15.75" customHeight="1">
      <c r="A52" s="1"/>
      <c r="B52" s="58"/>
      <c r="C52" s="58"/>
      <c r="D52" s="58"/>
      <c r="E52" s="58"/>
      <c r="F52" s="58"/>
      <c r="G52" s="58"/>
      <c r="H52" s="58"/>
      <c r="I52" s="59"/>
      <c r="J52" s="58"/>
    </row>
    <row r="53" ht="15.75" customHeight="1">
      <c r="A53" s="1"/>
      <c r="B53" s="58"/>
      <c r="C53" s="58"/>
      <c r="D53" s="58"/>
      <c r="E53" s="58"/>
      <c r="F53" s="58"/>
      <c r="G53" s="58"/>
      <c r="H53" s="58"/>
      <c r="I53" s="59"/>
      <c r="J53" s="58"/>
    </row>
    <row r="54" ht="15.75" customHeight="1">
      <c r="A54" s="1"/>
      <c r="B54" s="58"/>
      <c r="C54" s="58"/>
      <c r="D54" s="58"/>
      <c r="E54" s="58"/>
      <c r="F54" s="58"/>
      <c r="G54" s="58"/>
      <c r="H54" s="58"/>
      <c r="I54" s="59"/>
      <c r="J54" s="58"/>
    </row>
    <row r="55" ht="15.75" customHeight="1">
      <c r="A55" s="1"/>
      <c r="B55" s="58"/>
      <c r="C55" s="58"/>
      <c r="D55" s="58"/>
      <c r="E55" s="58"/>
      <c r="F55" s="58"/>
      <c r="G55" s="58"/>
      <c r="H55" s="58"/>
      <c r="I55" s="59"/>
      <c r="J55" s="58"/>
    </row>
    <row r="56" ht="15.75" customHeight="1">
      <c r="A56" s="1"/>
      <c r="B56" s="58"/>
      <c r="C56" s="58"/>
      <c r="D56" s="58"/>
      <c r="E56" s="58"/>
      <c r="F56" s="58"/>
      <c r="G56" s="58"/>
      <c r="H56" s="58"/>
      <c r="I56" s="59"/>
      <c r="J56" s="58"/>
    </row>
    <row r="57" ht="15.75" customHeight="1">
      <c r="A57" s="1"/>
      <c r="B57" s="58"/>
      <c r="C57" s="58"/>
      <c r="D57" s="58"/>
      <c r="E57" s="58"/>
      <c r="F57" s="58"/>
      <c r="G57" s="58"/>
      <c r="H57" s="58"/>
      <c r="I57" s="59"/>
      <c r="J57" s="58"/>
    </row>
    <row r="58" ht="15.75" customHeight="1">
      <c r="A58" s="1"/>
      <c r="B58" s="58"/>
      <c r="C58" s="58"/>
      <c r="D58" s="58"/>
      <c r="E58" s="58"/>
      <c r="F58" s="58"/>
      <c r="G58" s="58"/>
      <c r="H58" s="58"/>
      <c r="I58" s="59"/>
      <c r="J58" s="58"/>
    </row>
    <row r="59" ht="15.75" customHeight="1">
      <c r="A59" s="1"/>
      <c r="B59" s="58"/>
      <c r="C59" s="58"/>
      <c r="D59" s="58"/>
      <c r="E59" s="58"/>
      <c r="F59" s="58"/>
      <c r="G59" s="58"/>
      <c r="H59" s="58"/>
      <c r="I59" s="59"/>
      <c r="J59" s="58"/>
    </row>
    <row r="60" ht="15.75" customHeight="1">
      <c r="A60" s="1"/>
      <c r="B60" s="58"/>
      <c r="C60" s="58"/>
      <c r="D60" s="58"/>
      <c r="E60" s="58"/>
      <c r="F60" s="58"/>
      <c r="G60" s="58"/>
      <c r="H60" s="58"/>
      <c r="I60" s="59"/>
      <c r="J60" s="58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B1:I1"/>
    <mergeCell ref="B2:I2"/>
    <mergeCell ref="B4:J4"/>
    <mergeCell ref="B21:J21"/>
    <mergeCell ref="B35:J35"/>
    <mergeCell ref="B48:H48"/>
    <mergeCell ref="B50:J5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8.0"/>
    <col customWidth="1" min="3" max="5" width="16.0"/>
    <col customWidth="1" min="6" max="7" width="14.0"/>
    <col customWidth="1" min="8" max="26" width="8.71"/>
  </cols>
  <sheetData>
    <row r="1" ht="27.75" customHeight="1">
      <c r="A1" s="1"/>
      <c r="B1" s="22" t="s">
        <v>274</v>
      </c>
      <c r="C1" s="23"/>
      <c r="D1" s="23"/>
      <c r="E1" s="23"/>
      <c r="F1" s="23"/>
      <c r="G1" s="3"/>
    </row>
    <row r="2" ht="18.0" customHeight="1">
      <c r="A2" s="1"/>
      <c r="B2" s="60" t="s">
        <v>275</v>
      </c>
      <c r="C2" s="23"/>
      <c r="D2" s="23"/>
      <c r="E2" s="23"/>
      <c r="F2" s="23"/>
      <c r="G2" s="3"/>
    </row>
    <row r="3" ht="19.5" customHeight="1">
      <c r="A3" s="1"/>
      <c r="B3" s="9" t="s">
        <v>125</v>
      </c>
      <c r="C3" s="9" t="s">
        <v>276</v>
      </c>
      <c r="D3" s="9" t="s">
        <v>277</v>
      </c>
      <c r="E3" s="9" t="s">
        <v>278</v>
      </c>
      <c r="F3" s="9" t="s">
        <v>279</v>
      </c>
      <c r="G3" s="9" t="s">
        <v>280</v>
      </c>
    </row>
    <row r="4" ht="6.0" customHeight="1">
      <c r="A4" s="1"/>
      <c r="B4" s="1"/>
      <c r="C4" s="1"/>
      <c r="D4" s="1"/>
      <c r="E4" s="1"/>
      <c r="F4" s="1"/>
      <c r="G4" s="1"/>
    </row>
    <row r="5" ht="21.75" customHeight="1">
      <c r="A5" s="1"/>
      <c r="B5" s="61" t="s">
        <v>281</v>
      </c>
      <c r="C5" s="62"/>
      <c r="D5" s="62"/>
      <c r="E5" s="62"/>
      <c r="F5" s="62"/>
      <c r="G5" s="63"/>
    </row>
    <row r="6" ht="18.0" customHeight="1">
      <c r="A6" s="1"/>
      <c r="B6" s="64" t="s">
        <v>282</v>
      </c>
      <c r="C6" s="65">
        <f>5000+12000</f>
        <v>17000</v>
      </c>
      <c r="D6" s="65">
        <f>8500+15000</f>
        <v>23500</v>
      </c>
      <c r="E6" s="65">
        <f>10000+18200</f>
        <v>28200</v>
      </c>
      <c r="F6" s="66">
        <v>1.0</v>
      </c>
      <c r="G6" s="66">
        <v>1.0</v>
      </c>
    </row>
    <row r="7" ht="18.0" customHeight="1">
      <c r="A7" s="1"/>
      <c r="B7" s="64" t="s">
        <v>283</v>
      </c>
      <c r="C7" s="67">
        <v>1020.0</v>
      </c>
      <c r="D7" s="65">
        <f>1020</f>
        <v>1020</v>
      </c>
      <c r="E7" s="65">
        <f>1410</f>
        <v>1410</v>
      </c>
      <c r="F7" s="66">
        <f t="shared" ref="F7:G7" si="1">IFERROR(C7/C6,"–")</f>
        <v>0.06</v>
      </c>
      <c r="G7" s="66">
        <f t="shared" si="1"/>
        <v>0.04340425532</v>
      </c>
    </row>
    <row r="8" ht="18.0" customHeight="1">
      <c r="A8" s="1"/>
      <c r="B8" s="68" t="s">
        <v>284</v>
      </c>
      <c r="C8" s="69">
        <f t="shared" ref="C8:E8" si="2">C6+C7</f>
        <v>18020</v>
      </c>
      <c r="D8" s="69">
        <f t="shared" si="2"/>
        <v>24520</v>
      </c>
      <c r="E8" s="69">
        <f t="shared" si="2"/>
        <v>29610</v>
      </c>
      <c r="F8" s="70">
        <f t="shared" ref="F8:G8" si="3">IFERROR(C8/C6,"–")</f>
        <v>1.06</v>
      </c>
      <c r="G8" s="70">
        <f t="shared" si="3"/>
        <v>1.043404255</v>
      </c>
    </row>
    <row r="9" ht="6.0" customHeight="1">
      <c r="A9" s="1"/>
      <c r="B9" s="1"/>
      <c r="C9" s="1"/>
      <c r="D9" s="1"/>
      <c r="E9" s="1"/>
      <c r="F9" s="1"/>
      <c r="G9" s="1"/>
    </row>
    <row r="10" ht="21.75" customHeight="1">
      <c r="A10" s="1"/>
      <c r="B10" s="61" t="s">
        <v>285</v>
      </c>
      <c r="C10" s="62"/>
      <c r="D10" s="62"/>
      <c r="E10" s="62"/>
      <c r="F10" s="62"/>
      <c r="G10" s="63"/>
    </row>
    <row r="11" ht="18.0" customHeight="1">
      <c r="A11" s="1"/>
      <c r="B11" s="64" t="s">
        <v>286</v>
      </c>
      <c r="C11" s="65">
        <f>2500+200</f>
        <v>2700</v>
      </c>
      <c r="D11" s="65">
        <f>2500+1210</f>
        <v>3710</v>
      </c>
      <c r="E11" s="65">
        <f>5500</f>
        <v>5500</v>
      </c>
      <c r="F11" s="66">
        <f t="shared" ref="F11:G11" si="4">IFERROR(C11/C6,"–")</f>
        <v>0.1588235294</v>
      </c>
      <c r="G11" s="66">
        <f t="shared" si="4"/>
        <v>0.1578723404</v>
      </c>
    </row>
    <row r="12" ht="18.0" customHeight="1">
      <c r="A12" s="1"/>
      <c r="B12" s="64" t="s">
        <v>287</v>
      </c>
      <c r="C12" s="65">
        <f>500+500</f>
        <v>1000</v>
      </c>
      <c r="D12" s="65">
        <f>700</f>
        <v>700</v>
      </c>
      <c r="E12" s="65">
        <f>1540</f>
        <v>1540</v>
      </c>
      <c r="F12" s="66">
        <f t="shared" ref="F12:G12" si="5">IFERROR(C12/C6,"–")</f>
        <v>0.05882352941</v>
      </c>
      <c r="G12" s="66">
        <f t="shared" si="5"/>
        <v>0.02978723404</v>
      </c>
    </row>
    <row r="13" ht="18.0" customHeight="1">
      <c r="A13" s="1"/>
      <c r="B13" s="64" t="s">
        <v>288</v>
      </c>
      <c r="C13" s="65">
        <f t="shared" ref="C13:E13" si="6">2490</f>
        <v>2490</v>
      </c>
      <c r="D13" s="65">
        <f t="shared" si="6"/>
        <v>2490</v>
      </c>
      <c r="E13" s="65">
        <f t="shared" si="6"/>
        <v>2490</v>
      </c>
      <c r="F13" s="66">
        <f t="shared" ref="F13:G13" si="7">IFERROR(C13/C6,"–")</f>
        <v>0.1464705882</v>
      </c>
      <c r="G13" s="66">
        <f t="shared" si="7"/>
        <v>0.1059574468</v>
      </c>
    </row>
    <row r="14" ht="18.0" customHeight="1">
      <c r="A14" s="1"/>
      <c r="B14" s="64" t="s">
        <v>289</v>
      </c>
      <c r="C14" s="65">
        <f t="shared" ref="C14:E14" si="8">1200</f>
        <v>1200</v>
      </c>
      <c r="D14" s="65">
        <f t="shared" si="8"/>
        <v>1200</v>
      </c>
      <c r="E14" s="65">
        <f t="shared" si="8"/>
        <v>1200</v>
      </c>
      <c r="F14" s="66">
        <f t="shared" ref="F14:G14" si="9">IFERROR(C14/C6,"–")</f>
        <v>0.07058823529</v>
      </c>
      <c r="G14" s="66">
        <f t="shared" si="9"/>
        <v>0.05106382979</v>
      </c>
    </row>
    <row r="15" ht="18.0" customHeight="1">
      <c r="A15" s="1"/>
      <c r="B15" s="64" t="s">
        <v>290</v>
      </c>
      <c r="C15" s="65">
        <f>280</f>
        <v>280</v>
      </c>
      <c r="D15" s="65">
        <f>600</f>
        <v>600</v>
      </c>
      <c r="E15" s="65">
        <f>650</f>
        <v>650</v>
      </c>
      <c r="F15" s="66">
        <f t="shared" ref="F15:G15" si="10">IFERROR(C15/C6,"–")</f>
        <v>0.01647058824</v>
      </c>
      <c r="G15" s="66">
        <f t="shared" si="10"/>
        <v>0.02553191489</v>
      </c>
    </row>
    <row r="16" ht="18.0" customHeight="1">
      <c r="A16" s="1"/>
      <c r="B16" s="64" t="s">
        <v>291</v>
      </c>
      <c r="C16" s="65">
        <f>320</f>
        <v>320</v>
      </c>
      <c r="D16" s="65">
        <f>1500</f>
        <v>1500</v>
      </c>
      <c r="E16" s="65">
        <f>800</f>
        <v>800</v>
      </c>
      <c r="F16" s="66">
        <f t="shared" ref="F16:G16" si="11">IFERROR(C16/C6,"–")</f>
        <v>0.01882352941</v>
      </c>
      <c r="G16" s="66">
        <f t="shared" si="11"/>
        <v>0.06382978723</v>
      </c>
    </row>
    <row r="17" ht="18.0" customHeight="1">
      <c r="A17" s="1"/>
      <c r="B17" s="64" t="s">
        <v>292</v>
      </c>
      <c r="C17" s="65">
        <f>350</f>
        <v>350</v>
      </c>
      <c r="D17" s="67">
        <v>0.0</v>
      </c>
      <c r="E17" s="67" t="s">
        <v>293</v>
      </c>
      <c r="F17" s="66">
        <f t="shared" ref="F17:G17" si="12">IFERROR(C17/C6,"–")</f>
        <v>0.02058823529</v>
      </c>
      <c r="G17" s="66">
        <f t="shared" si="12"/>
        <v>0</v>
      </c>
    </row>
    <row r="18" ht="18.0" customHeight="1">
      <c r="A18" s="1"/>
      <c r="B18" s="64" t="s">
        <v>294</v>
      </c>
      <c r="C18" s="67">
        <v>133.0</v>
      </c>
      <c r="D18" s="65">
        <f>158</f>
        <v>158</v>
      </c>
      <c r="E18" s="65">
        <f>171</f>
        <v>171</v>
      </c>
      <c r="F18" s="66">
        <f t="shared" ref="F18:G18" si="13">IFERROR(C18/C6,"–")</f>
        <v>0.007823529412</v>
      </c>
      <c r="G18" s="66">
        <f t="shared" si="13"/>
        <v>0.006723404255</v>
      </c>
    </row>
    <row r="19" ht="18.0" customHeight="1">
      <c r="A19" s="1"/>
      <c r="B19" s="71" t="s">
        <v>295</v>
      </c>
      <c r="C19" s="72">
        <f t="shared" ref="C19:E19" si="14">SUM(C11:C18)</f>
        <v>8473</v>
      </c>
      <c r="D19" s="72">
        <f t="shared" si="14"/>
        <v>10358</v>
      </c>
      <c r="E19" s="72">
        <f t="shared" si="14"/>
        <v>12351</v>
      </c>
      <c r="F19" s="73">
        <f t="shared" ref="F19:G19" si="15">IFERROR(IF(C6&lt;&gt;0,C19/C6,0),"–")</f>
        <v>0.4984117647</v>
      </c>
      <c r="G19" s="73">
        <f t="shared" si="15"/>
        <v>0.4407659574</v>
      </c>
    </row>
    <row r="20" ht="6.0" customHeight="1">
      <c r="A20" s="1"/>
      <c r="B20" s="1"/>
      <c r="C20" s="1"/>
      <c r="D20" s="1"/>
      <c r="E20" s="1"/>
      <c r="F20" s="1"/>
      <c r="G20" s="1"/>
    </row>
    <row r="21" ht="18.0" customHeight="1">
      <c r="A21" s="1"/>
      <c r="B21" s="74" t="s">
        <v>296</v>
      </c>
      <c r="C21" s="75">
        <f t="shared" ref="C21:E21" si="16">C8+C19</f>
        <v>26493</v>
      </c>
      <c r="D21" s="75">
        <f t="shared" si="16"/>
        <v>34878</v>
      </c>
      <c r="E21" s="75">
        <f t="shared" si="16"/>
        <v>41961</v>
      </c>
      <c r="F21" s="76">
        <f t="shared" ref="F21:G21" si="17">IFERROR(IF(C6&lt;&gt;0,C21/C6,0),"–")</f>
        <v>1.558411765</v>
      </c>
      <c r="G21" s="76">
        <f t="shared" si="17"/>
        <v>1.484170213</v>
      </c>
    </row>
    <row r="22" ht="18.0" customHeight="1">
      <c r="A22" s="1"/>
      <c r="B22" s="64" t="s">
        <v>297</v>
      </c>
      <c r="C22" s="65">
        <f t="shared" ref="C22:E22" si="18">C8-C19</f>
        <v>9547</v>
      </c>
      <c r="D22" s="65">
        <f t="shared" si="18"/>
        <v>14162</v>
      </c>
      <c r="E22" s="65">
        <f t="shared" si="18"/>
        <v>17259</v>
      </c>
      <c r="F22" s="66">
        <f t="shared" ref="F22:G22" si="19">IFERROR(C22/C6,"–")</f>
        <v>0.5615882353</v>
      </c>
      <c r="G22" s="66">
        <f t="shared" si="19"/>
        <v>0.6026382979</v>
      </c>
    </row>
    <row r="23" ht="18.0" customHeight="1">
      <c r="A23" s="1"/>
      <c r="B23" s="74" t="s">
        <v>298</v>
      </c>
      <c r="C23" s="75">
        <f t="shared" ref="C23:E23" si="20">C21+C22</f>
        <v>36040</v>
      </c>
      <c r="D23" s="75">
        <f t="shared" si="20"/>
        <v>49040</v>
      </c>
      <c r="E23" s="75">
        <f t="shared" si="20"/>
        <v>59220</v>
      </c>
      <c r="F23" s="76">
        <f t="shared" ref="F23:G23" si="21">IFERROR(IF(C6&lt;&gt;0,C23/C6,0),"–")</f>
        <v>2.12</v>
      </c>
      <c r="G23" s="76">
        <f t="shared" si="21"/>
        <v>2.086808511</v>
      </c>
    </row>
    <row r="24" ht="18.0" customHeight="1">
      <c r="A24" s="1"/>
      <c r="B24" s="64" t="s">
        <v>299</v>
      </c>
      <c r="C24" s="65">
        <f t="shared" ref="C24:E24" si="22">C22-C19+C8</f>
        <v>19094</v>
      </c>
      <c r="D24" s="65">
        <f t="shared" si="22"/>
        <v>28324</v>
      </c>
      <c r="E24" s="65">
        <f t="shared" si="22"/>
        <v>34518</v>
      </c>
      <c r="F24" s="66">
        <f t="shared" ref="F24:G24" si="23">IFERROR(C24/C6,"–")</f>
        <v>1.123176471</v>
      </c>
      <c r="G24" s="66">
        <f t="shared" si="23"/>
        <v>1.205276596</v>
      </c>
    </row>
    <row r="25" ht="18.0" customHeight="1">
      <c r="A25" s="1"/>
      <c r="B25" s="77" t="s">
        <v>300</v>
      </c>
      <c r="C25" s="78">
        <f t="shared" ref="C25:E25" si="24">C23+C24</f>
        <v>55134</v>
      </c>
      <c r="D25" s="78">
        <f t="shared" si="24"/>
        <v>77364</v>
      </c>
      <c r="E25" s="78">
        <f t="shared" si="24"/>
        <v>93738</v>
      </c>
      <c r="F25" s="79">
        <f t="shared" ref="F25:G25" si="25">IFERROR(IF(C6&lt;&gt;0,C25/C6,0),"–")</f>
        <v>3.243176471</v>
      </c>
      <c r="G25" s="79">
        <f t="shared" si="25"/>
        <v>3.292085106</v>
      </c>
    </row>
    <row r="26" ht="15.75" customHeight="1">
      <c r="A26" s="1"/>
      <c r="B26" s="1"/>
      <c r="C26" s="1"/>
      <c r="D26" s="1"/>
      <c r="E26" s="1"/>
      <c r="F26" s="1"/>
      <c r="G26" s="1"/>
    </row>
    <row r="27" ht="24.0" customHeight="1">
      <c r="A27" s="1"/>
      <c r="B27" s="80" t="s">
        <v>301</v>
      </c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1:G1"/>
    <mergeCell ref="B2:G2"/>
    <mergeCell ref="B5:G5"/>
    <mergeCell ref="B10:G10"/>
    <mergeCell ref="B27:G27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5.0"/>
    <col customWidth="1" min="3" max="5" width="16.0"/>
    <col customWidth="1" min="6" max="6" width="3.0"/>
    <col customWidth="1" min="7" max="7" width="35.0"/>
    <col customWidth="1" min="8" max="10" width="16.0"/>
    <col customWidth="1" min="11" max="26" width="8.71"/>
  </cols>
  <sheetData>
    <row r="1" ht="27.75" customHeight="1">
      <c r="A1" s="1"/>
      <c r="B1" s="22" t="s">
        <v>302</v>
      </c>
      <c r="C1" s="23"/>
      <c r="D1" s="23"/>
      <c r="E1" s="23"/>
      <c r="F1" s="23"/>
      <c r="G1" s="23"/>
      <c r="H1" s="23"/>
      <c r="I1" s="23"/>
      <c r="J1" s="3"/>
    </row>
    <row r="2" ht="15.0" customHeight="1">
      <c r="A2" s="1"/>
      <c r="B2" s="81" t="s">
        <v>303</v>
      </c>
      <c r="C2" s="81" t="s">
        <v>276</v>
      </c>
      <c r="D2" s="81" t="s">
        <v>304</v>
      </c>
      <c r="E2" s="81" t="s">
        <v>305</v>
      </c>
      <c r="F2" s="82"/>
      <c r="G2" s="83" t="s">
        <v>306</v>
      </c>
      <c r="H2" s="81" t="s">
        <v>276</v>
      </c>
      <c r="I2" s="81" t="s">
        <v>304</v>
      </c>
      <c r="J2" s="81" t="s">
        <v>305</v>
      </c>
    </row>
    <row r="3" ht="21.75" customHeight="1">
      <c r="A3" s="1"/>
      <c r="B3" s="84" t="s">
        <v>307</v>
      </c>
      <c r="C3" s="62"/>
      <c r="D3" s="62"/>
      <c r="E3" s="63"/>
      <c r="F3" s="82"/>
      <c r="G3" s="85" t="s">
        <v>308</v>
      </c>
      <c r="H3" s="62"/>
      <c r="I3" s="62"/>
      <c r="J3" s="63"/>
    </row>
    <row r="4" ht="18.0" customHeight="1">
      <c r="A4" s="1"/>
      <c r="B4" s="64" t="s">
        <v>53</v>
      </c>
      <c r="C4" s="67">
        <v>0.0</v>
      </c>
      <c r="D4" s="67" t="s">
        <v>293</v>
      </c>
      <c r="E4" s="65"/>
      <c r="F4" s="82"/>
      <c r="G4" s="86" t="s">
        <v>73</v>
      </c>
      <c r="H4" s="65">
        <f>1020</f>
        <v>1020</v>
      </c>
      <c r="I4" s="65">
        <f>1410+1020</f>
        <v>2430</v>
      </c>
      <c r="J4" s="65">
        <f>1692+1410</f>
        <v>3102</v>
      </c>
    </row>
    <row r="5" ht="18.0" customHeight="1">
      <c r="A5" s="1"/>
      <c r="B5" s="64" t="s">
        <v>58</v>
      </c>
      <c r="C5" s="87">
        <v>95860.0</v>
      </c>
      <c r="D5" s="87">
        <v>99840.0</v>
      </c>
      <c r="E5" s="87">
        <v>97790.0</v>
      </c>
      <c r="F5" s="82"/>
      <c r="G5" s="86" t="s">
        <v>77</v>
      </c>
      <c r="H5" s="65">
        <f>200</f>
        <v>200</v>
      </c>
      <c r="I5" s="65">
        <f>1210+700</f>
        <v>1910</v>
      </c>
      <c r="J5" s="65">
        <f>1540</f>
        <v>1540</v>
      </c>
    </row>
    <row r="6" ht="18.0" customHeight="1">
      <c r="A6" s="1"/>
      <c r="B6" s="64" t="s">
        <v>309</v>
      </c>
      <c r="C6" s="87">
        <v>6000.0</v>
      </c>
      <c r="D6" s="87">
        <v>15000.0</v>
      </c>
      <c r="E6" s="87">
        <v>33200.0</v>
      </c>
      <c r="F6" s="82"/>
      <c r="G6" s="86" t="s">
        <v>79</v>
      </c>
      <c r="H6" s="65">
        <f>500+510</f>
        <v>1010</v>
      </c>
      <c r="I6" s="67" t="s">
        <v>293</v>
      </c>
      <c r="J6" s="65">
        <f>700</f>
        <v>700</v>
      </c>
    </row>
    <row r="7" ht="18.0" customHeight="1">
      <c r="A7" s="1"/>
      <c r="B7" s="64" t="s">
        <v>62</v>
      </c>
      <c r="C7" s="67" t="s">
        <v>293</v>
      </c>
      <c r="D7" s="67" t="s">
        <v>293</v>
      </c>
      <c r="E7" s="67" t="s">
        <v>293</v>
      </c>
      <c r="F7" s="82"/>
      <c r="G7" s="86" t="s">
        <v>310</v>
      </c>
      <c r="H7" s="65">
        <f t="shared" ref="H7:I7" si="1">2500</f>
        <v>2500</v>
      </c>
      <c r="I7" s="65">
        <f t="shared" si="1"/>
        <v>2500</v>
      </c>
      <c r="J7" s="65">
        <f>5500</f>
        <v>5500</v>
      </c>
    </row>
    <row r="8" ht="18.0" customHeight="1">
      <c r="A8" s="1"/>
      <c r="B8" s="68" t="s">
        <v>311</v>
      </c>
      <c r="C8" s="69">
        <f t="shared" ref="C8:E8" si="2">SUM(C4:C7)</f>
        <v>101860</v>
      </c>
      <c r="D8" s="69">
        <f t="shared" si="2"/>
        <v>114840</v>
      </c>
      <c r="E8" s="69">
        <f t="shared" si="2"/>
        <v>130990</v>
      </c>
      <c r="F8" s="82"/>
      <c r="G8" s="86" t="s">
        <v>312</v>
      </c>
      <c r="H8" s="65">
        <f t="shared" ref="H8:J8" si="3">1200</f>
        <v>1200</v>
      </c>
      <c r="I8" s="65">
        <f t="shared" si="3"/>
        <v>1200</v>
      </c>
      <c r="J8" s="65">
        <f t="shared" si="3"/>
        <v>1200</v>
      </c>
    </row>
    <row r="9" ht="18.0" customHeight="1">
      <c r="A9" s="1"/>
      <c r="B9" s="1"/>
      <c r="C9" s="1"/>
      <c r="D9" s="1"/>
      <c r="E9" s="1"/>
      <c r="F9" s="82"/>
      <c r="G9" s="88" t="s">
        <v>313</v>
      </c>
      <c r="H9" s="69">
        <f t="shared" ref="H9:J9" si="4">SUM(H4:H8)</f>
        <v>5930</v>
      </c>
      <c r="I9" s="69">
        <f t="shared" si="4"/>
        <v>8040</v>
      </c>
      <c r="J9" s="69">
        <f t="shared" si="4"/>
        <v>12042</v>
      </c>
    </row>
    <row r="10">
      <c r="A10" s="1"/>
      <c r="B10" s="84" t="s">
        <v>314</v>
      </c>
      <c r="C10" s="62"/>
      <c r="D10" s="62"/>
      <c r="E10" s="63"/>
      <c r="F10" s="82"/>
      <c r="G10" s="1"/>
      <c r="H10" s="1"/>
      <c r="I10" s="1"/>
      <c r="J10" s="1"/>
    </row>
    <row r="11" ht="21.75" customHeight="1">
      <c r="A11" s="1"/>
      <c r="B11" s="64" t="s">
        <v>64</v>
      </c>
      <c r="C11" s="87">
        <v>8000.0</v>
      </c>
      <c r="D11" s="87">
        <v>8000.0</v>
      </c>
      <c r="E11" s="87">
        <v>8000.0</v>
      </c>
      <c r="F11" s="82"/>
      <c r="G11" s="85" t="s">
        <v>315</v>
      </c>
      <c r="H11" s="62"/>
      <c r="I11" s="62"/>
      <c r="J11" s="63"/>
    </row>
    <row r="12" ht="18.0" customHeight="1">
      <c r="A12" s="1"/>
      <c r="B12" s="64" t="s">
        <v>316</v>
      </c>
      <c r="C12" s="67" t="s">
        <v>293</v>
      </c>
      <c r="D12" s="87">
        <v>1500.0</v>
      </c>
      <c r="E12" s="87">
        <v>2300.0</v>
      </c>
      <c r="F12" s="82"/>
      <c r="G12" s="86" t="s">
        <v>317</v>
      </c>
      <c r="H12" s="67"/>
      <c r="I12" s="67"/>
      <c r="J12" s="67"/>
    </row>
    <row r="13" ht="18.0" customHeight="1">
      <c r="A13" s="1"/>
      <c r="B13" s="64" t="s">
        <v>318</v>
      </c>
      <c r="C13" s="67">
        <v>133.0</v>
      </c>
      <c r="D13" s="87">
        <v>291.0</v>
      </c>
      <c r="E13" s="87">
        <v>462.0</v>
      </c>
      <c r="F13" s="82"/>
      <c r="G13" s="88" t="s">
        <v>319</v>
      </c>
      <c r="H13" s="69" t="str">
        <f t="shared" ref="H13:J13" si="5">H12</f>
        <v/>
      </c>
      <c r="I13" s="69" t="str">
        <f t="shared" si="5"/>
        <v/>
      </c>
      <c r="J13" s="69" t="str">
        <f t="shared" si="5"/>
        <v/>
      </c>
    </row>
    <row r="14">
      <c r="A14" s="1"/>
      <c r="B14" s="68" t="s">
        <v>320</v>
      </c>
      <c r="C14" s="69">
        <f t="shared" ref="C14:E14" si="6">SUM(C11:C13)</f>
        <v>8133</v>
      </c>
      <c r="D14" s="69">
        <f t="shared" si="6"/>
        <v>9791</v>
      </c>
      <c r="E14" s="69">
        <f t="shared" si="6"/>
        <v>10762</v>
      </c>
      <c r="F14" s="82"/>
      <c r="G14" s="1"/>
      <c r="H14" s="1"/>
      <c r="I14" s="1"/>
      <c r="J14" s="1"/>
    </row>
    <row r="15" ht="21.75" customHeight="1">
      <c r="A15" s="1"/>
      <c r="B15" s="1"/>
      <c r="C15" s="1"/>
      <c r="D15" s="1"/>
      <c r="E15" s="1"/>
      <c r="F15" s="82"/>
      <c r="G15" s="85" t="s">
        <v>321</v>
      </c>
      <c r="H15" s="62"/>
      <c r="I15" s="62"/>
      <c r="J15" s="63"/>
    </row>
    <row r="16" ht="18.0" customHeight="1">
      <c r="A16" s="1"/>
      <c r="B16" s="89" t="s">
        <v>322</v>
      </c>
      <c r="C16" s="90">
        <f t="shared" ref="C16:E16" si="7">C8+C14</f>
        <v>109993</v>
      </c>
      <c r="D16" s="90">
        <f t="shared" si="7"/>
        <v>124631</v>
      </c>
      <c r="E16" s="90">
        <f t="shared" si="7"/>
        <v>141752</v>
      </c>
      <c r="F16" s="82"/>
      <c r="G16" s="86" t="s">
        <v>87</v>
      </c>
      <c r="H16" s="67">
        <v>100000.0</v>
      </c>
      <c r="I16" s="67">
        <v>100000.0</v>
      </c>
      <c r="J16" s="67">
        <v>100000.0</v>
      </c>
    </row>
    <row r="17" ht="18.0" customHeight="1">
      <c r="A17" s="1"/>
      <c r="B17" s="1"/>
      <c r="C17" s="1"/>
      <c r="D17" s="1"/>
      <c r="E17" s="1"/>
      <c r="F17" s="82"/>
      <c r="G17" s="86" t="s">
        <v>91</v>
      </c>
      <c r="H17" s="65">
        <f>DRE!C22</f>
        <v>9547</v>
      </c>
      <c r="I17" s="65">
        <f>DRE!D22</f>
        <v>14162</v>
      </c>
      <c r="J17" s="65">
        <f>DRE!E22</f>
        <v>17259</v>
      </c>
    </row>
    <row r="18" ht="18.0" customHeight="1">
      <c r="A18" s="1"/>
      <c r="B18" s="1"/>
      <c r="C18" s="1"/>
      <c r="D18" s="1"/>
      <c r="E18" s="1"/>
      <c r="F18" s="82"/>
      <c r="G18" s="91" t="s">
        <v>323</v>
      </c>
      <c r="H18" s="90">
        <f t="shared" ref="H18:J18" si="8">H16+H17</f>
        <v>109547</v>
      </c>
      <c r="I18" s="90">
        <f t="shared" si="8"/>
        <v>114162</v>
      </c>
      <c r="J18" s="90">
        <f t="shared" si="8"/>
        <v>117259</v>
      </c>
    </row>
    <row r="19" ht="6.0" customHeight="1">
      <c r="A19" s="1"/>
      <c r="B19" s="1"/>
      <c r="C19" s="1"/>
      <c r="D19" s="1"/>
      <c r="E19" s="1"/>
      <c r="F19" s="82"/>
      <c r="G19" s="1"/>
      <c r="H19" s="1"/>
      <c r="I19" s="1"/>
      <c r="J19" s="1"/>
    </row>
    <row r="20" ht="18.0" customHeight="1">
      <c r="A20" s="1"/>
      <c r="B20" s="1"/>
      <c r="C20" s="1"/>
      <c r="D20" s="1"/>
      <c r="E20" s="1"/>
      <c r="F20" s="82"/>
      <c r="G20" s="92" t="s">
        <v>324</v>
      </c>
      <c r="H20" s="93">
        <f t="shared" ref="H20:J20" si="9">H9+H13+H18</f>
        <v>115477</v>
      </c>
      <c r="I20" s="93">
        <f t="shared" si="9"/>
        <v>122202</v>
      </c>
      <c r="J20" s="93">
        <f t="shared" si="9"/>
        <v>129301</v>
      </c>
    </row>
    <row r="21" ht="15.0" customHeight="1">
      <c r="A21" s="1"/>
      <c r="B21" s="1"/>
      <c r="C21" s="1"/>
      <c r="D21" s="1"/>
      <c r="E21" s="1"/>
      <c r="F21" s="82"/>
      <c r="G21" s="1"/>
      <c r="H21" s="1"/>
      <c r="I21" s="1"/>
      <c r="J21" s="1"/>
    </row>
    <row r="22" ht="15.0" customHeight="1">
      <c r="A22" s="1"/>
      <c r="B22" s="1"/>
      <c r="C22" s="1"/>
      <c r="D22" s="1"/>
      <c r="E22" s="1"/>
      <c r="F22" s="82"/>
      <c r="G22" s="1"/>
      <c r="H22" s="1"/>
      <c r="I22" s="1"/>
      <c r="J22" s="1"/>
    </row>
    <row r="23" ht="21.75" customHeight="1">
      <c r="A23" s="1"/>
      <c r="B23" s="94" t="s">
        <v>325</v>
      </c>
      <c r="C23" s="62"/>
      <c r="D23" s="62"/>
      <c r="E23" s="62"/>
      <c r="F23" s="62"/>
      <c r="G23" s="62"/>
      <c r="H23" s="62"/>
      <c r="I23" s="62"/>
      <c r="J23" s="63"/>
    </row>
    <row r="24" ht="18.0" customHeight="1">
      <c r="A24" s="1"/>
      <c r="B24" s="95" t="s">
        <v>326</v>
      </c>
      <c r="C24" s="96">
        <f>IFERROR(C16-H20,0)</f>
        <v>-5484</v>
      </c>
      <c r="D24" s="1"/>
      <c r="E24" s="1"/>
      <c r="F24" s="82"/>
      <c r="G24" s="1"/>
      <c r="H24" s="1"/>
      <c r="I24" s="1"/>
      <c r="J24" s="1"/>
    </row>
    <row r="25" ht="18.0" customHeight="1">
      <c r="A25" s="1"/>
      <c r="B25" s="95" t="s">
        <v>327</v>
      </c>
      <c r="C25" s="1"/>
      <c r="D25" s="96">
        <f>IFERROR(D16-I20,0)</f>
        <v>2429</v>
      </c>
      <c r="E25" s="1"/>
      <c r="F25" s="82"/>
      <c r="G25" s="1"/>
      <c r="H25" s="1"/>
      <c r="I25" s="1"/>
      <c r="J25" s="1"/>
    </row>
    <row r="26" ht="18.0" customHeight="1">
      <c r="A26" s="1"/>
      <c r="B26" s="95" t="s">
        <v>328</v>
      </c>
      <c r="C26" s="1"/>
      <c r="D26" s="1"/>
      <c r="E26" s="96">
        <f>IFERROR(E16-J20,0)</f>
        <v>12451</v>
      </c>
      <c r="F26" s="82"/>
      <c r="G26" s="1"/>
      <c r="H26" s="1"/>
      <c r="I26" s="1"/>
      <c r="J26" s="1"/>
    </row>
    <row r="27" ht="15.0" customHeight="1">
      <c r="A27" s="1"/>
      <c r="B27" s="1"/>
      <c r="C27" s="1"/>
      <c r="D27" s="1"/>
      <c r="E27" s="1"/>
      <c r="F27" s="82"/>
      <c r="G27" s="1"/>
      <c r="H27" s="1"/>
      <c r="I27" s="1"/>
      <c r="J27" s="1"/>
    </row>
    <row r="28" ht="15.0" customHeight="1">
      <c r="A28" s="1"/>
      <c r="B28" s="1"/>
      <c r="C28" s="1"/>
      <c r="D28" s="1"/>
      <c r="E28" s="1"/>
      <c r="F28" s="82"/>
      <c r="G28" s="1"/>
      <c r="H28" s="1"/>
      <c r="I28" s="1"/>
      <c r="J28" s="1"/>
    </row>
    <row r="29" ht="15.0" customHeight="1">
      <c r="A29" s="1"/>
      <c r="B29" s="1"/>
      <c r="C29" s="1"/>
      <c r="D29" s="1"/>
      <c r="E29" s="1"/>
      <c r="F29" s="82"/>
      <c r="G29" s="1"/>
      <c r="H29" s="1"/>
      <c r="I29" s="1"/>
      <c r="J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7">
    <mergeCell ref="B1:J1"/>
    <mergeCell ref="B3:E3"/>
    <mergeCell ref="G3:J3"/>
    <mergeCell ref="B10:E10"/>
    <mergeCell ref="G11:J11"/>
    <mergeCell ref="G15:J15"/>
    <mergeCell ref="B23:J2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22.0"/>
    <col customWidth="1" min="4" max="6" width="16.0"/>
    <col customWidth="1" min="7" max="7" width="20.0"/>
    <col customWidth="1" min="8" max="8" width="40.0"/>
    <col customWidth="1" min="9" max="26" width="8.71"/>
  </cols>
  <sheetData>
    <row r="1" ht="27.75" customHeight="1">
      <c r="A1" s="1"/>
      <c r="B1" s="22" t="s">
        <v>329</v>
      </c>
      <c r="C1" s="23"/>
      <c r="D1" s="23"/>
      <c r="E1" s="23"/>
      <c r="F1" s="23"/>
      <c r="G1" s="23"/>
      <c r="H1" s="3"/>
    </row>
    <row r="2" ht="19.5" customHeight="1">
      <c r="A2" s="1"/>
      <c r="B2" s="97" t="s">
        <v>330</v>
      </c>
      <c r="C2" s="23"/>
      <c r="D2" s="23"/>
      <c r="E2" s="23"/>
      <c r="F2" s="23"/>
      <c r="G2" s="23"/>
      <c r="H2" s="3"/>
    </row>
    <row r="3" ht="21.75" customHeight="1">
      <c r="A3" s="1"/>
      <c r="B3" s="9" t="s">
        <v>331</v>
      </c>
      <c r="C3" s="9" t="s">
        <v>332</v>
      </c>
      <c r="D3" s="9" t="s">
        <v>276</v>
      </c>
      <c r="E3" s="9" t="s">
        <v>304</v>
      </c>
      <c r="F3" s="9" t="s">
        <v>305</v>
      </c>
      <c r="G3" s="9" t="s">
        <v>333</v>
      </c>
      <c r="H3" s="9" t="s">
        <v>334</v>
      </c>
    </row>
    <row r="4" ht="21.75" customHeight="1">
      <c r="A4" s="1"/>
      <c r="B4" s="61" t="s">
        <v>335</v>
      </c>
      <c r="C4" s="62"/>
      <c r="D4" s="62"/>
      <c r="E4" s="62"/>
      <c r="F4" s="62"/>
      <c r="G4" s="62"/>
      <c r="H4" s="63"/>
    </row>
    <row r="5" ht="18.0" customHeight="1">
      <c r="A5" s="1"/>
      <c r="B5" s="98" t="s">
        <v>336</v>
      </c>
      <c r="C5" s="99" t="s">
        <v>337</v>
      </c>
      <c r="D5" s="100">
        <f>IFERROR(BALANCO_PATRIMONIAL!C8/BALANCO_PATRIMONIAL!H9,0)</f>
        <v>17.17706577</v>
      </c>
      <c r="E5" s="100">
        <f>IFERROR(BALANCO_PATRIMONIAL!D8/BALANCO_PATRIMONIAL!I9,0)</f>
        <v>14.28358209</v>
      </c>
      <c r="F5" s="100">
        <f>IFERROR(BALANCO_PATRIMONIAL!E8/BALANCO_PATRIMONIAL!J9,0)</f>
        <v>10.87776117</v>
      </c>
      <c r="G5" s="101" t="s">
        <v>338</v>
      </c>
      <c r="H5" s="102" t="s">
        <v>339</v>
      </c>
    </row>
    <row r="6" ht="18.0" customHeight="1">
      <c r="A6" s="1"/>
      <c r="B6" s="103" t="s">
        <v>340</v>
      </c>
      <c r="C6" s="104" t="s">
        <v>341</v>
      </c>
      <c r="D6" s="105">
        <f>IFERROR(BALANCO_PATRIMONIAL!C8/BALANCO_PATRIMONIAL!H9,0)</f>
        <v>17.17706577</v>
      </c>
      <c r="E6" s="105">
        <f>IFERROR(BALANCO_PATRIMONIAL!D8/BALANCO_PATRIMONIAL!I9,0)</f>
        <v>14.28358209</v>
      </c>
      <c r="F6" s="105">
        <f>IFERROR(BALANCO_PATRIMONIAL!E8/BALANCO_PATRIMONIAL!J9,0)</f>
        <v>10.87776117</v>
      </c>
      <c r="G6" s="106" t="s">
        <v>342</v>
      </c>
      <c r="H6" s="107" t="s">
        <v>343</v>
      </c>
    </row>
    <row r="7" ht="18.0" customHeight="1">
      <c r="A7" s="1"/>
      <c r="B7" s="98" t="s">
        <v>344</v>
      </c>
      <c r="C7" s="99" t="s">
        <v>345</v>
      </c>
      <c r="D7" s="100">
        <f>IFERROR(BALANCO_PATRIMONIAL!C5/BALANCO_PATRIMONIAL!H9,0)</f>
        <v>16.16526138</v>
      </c>
      <c r="E7" s="100">
        <f>IFERROR(BALANCO_PATRIMONIAL!D5/BALANCO_PATRIMONIAL!I9,0)</f>
        <v>12.41791045</v>
      </c>
      <c r="F7" s="100">
        <f>IFERROR(BALANCO_PATRIMONIAL!E5/BALANCO_PATRIMONIAL!J9,0)</f>
        <v>8.120744062</v>
      </c>
      <c r="G7" s="101" t="s">
        <v>346</v>
      </c>
      <c r="H7" s="102" t="s">
        <v>347</v>
      </c>
    </row>
    <row r="8" ht="4.5" customHeight="1">
      <c r="A8" s="1"/>
      <c r="B8" s="1"/>
      <c r="C8" s="1"/>
      <c r="D8" s="1"/>
      <c r="E8" s="1"/>
      <c r="F8" s="1"/>
      <c r="G8" s="1"/>
      <c r="H8" s="1"/>
    </row>
    <row r="9" ht="21.75" customHeight="1">
      <c r="A9" s="1"/>
      <c r="B9" s="61" t="s">
        <v>348</v>
      </c>
      <c r="C9" s="62"/>
      <c r="D9" s="62"/>
      <c r="E9" s="62"/>
      <c r="F9" s="62"/>
      <c r="G9" s="62"/>
      <c r="H9" s="63"/>
    </row>
    <row r="10" ht="18.0" customHeight="1">
      <c r="A10" s="1"/>
      <c r="B10" s="103" t="s">
        <v>349</v>
      </c>
      <c r="C10" s="104" t="s">
        <v>350</v>
      </c>
      <c r="D10" s="108">
        <f>IFERROR(DRE!C25/DRE!C6,0)</f>
        <v>3.243176471</v>
      </c>
      <c r="E10" s="108">
        <f>IFERROR(DRE!D25/DRE!D6,0)</f>
        <v>3.292085106</v>
      </c>
      <c r="F10" s="108">
        <f>IFERROR(DRE!E25/DRE!E6,0)</f>
        <v>3.324042553</v>
      </c>
      <c r="G10" s="106" t="s">
        <v>351</v>
      </c>
      <c r="H10" s="107" t="s">
        <v>352</v>
      </c>
    </row>
    <row r="11" ht="18.0" customHeight="1">
      <c r="A11" s="1"/>
      <c r="B11" s="98" t="s">
        <v>353</v>
      </c>
      <c r="C11" s="99" t="s">
        <v>354</v>
      </c>
      <c r="D11" s="109">
        <f>IFERROR(DRE!C22/DRE!C8,"–")</f>
        <v>0.529800222</v>
      </c>
      <c r="E11" s="109">
        <f>IFERROR(DRE!D22/DRE!D8,"–")</f>
        <v>0.5775693312</v>
      </c>
      <c r="F11" s="109">
        <f>IFERROR(DRE!E22/DRE!E8,"–")</f>
        <v>0.5828774063</v>
      </c>
      <c r="G11" s="101" t="s">
        <v>355</v>
      </c>
      <c r="H11" s="102" t="s">
        <v>356</v>
      </c>
    </row>
    <row r="12" ht="18.0" customHeight="1">
      <c r="A12" s="1"/>
      <c r="B12" s="103" t="s">
        <v>357</v>
      </c>
      <c r="C12" s="104" t="s">
        <v>358</v>
      </c>
      <c r="D12" s="108">
        <f>IFERROR(DRE!C26/DRE!C6,"–")</f>
        <v>0</v>
      </c>
      <c r="E12" s="108">
        <f>IFERROR(DRE!D26/DRE!D6,"–")</f>
        <v>0</v>
      </c>
      <c r="F12" s="108">
        <f>IFERROR(DRE!E26/DRE!E6,"–")</f>
        <v>0</v>
      </c>
      <c r="G12" s="106" t="s">
        <v>359</v>
      </c>
      <c r="H12" s="107" t="s">
        <v>360</v>
      </c>
    </row>
    <row r="13" ht="18.0" customHeight="1">
      <c r="A13" s="1"/>
      <c r="B13" s="98" t="s">
        <v>361</v>
      </c>
      <c r="C13" s="99" t="s">
        <v>362</v>
      </c>
      <c r="D13" s="109">
        <f>IFERROR(DRE!C25/BALANCO_PATRIMONIAL!H18,0)</f>
        <v>0.5032908249</v>
      </c>
      <c r="E13" s="109">
        <f>IFERROR(DRE!D25/BALANCO_PATRIMONIAL!I18,0)</f>
        <v>0.6776685762</v>
      </c>
      <c r="F13" s="109">
        <f>IFERROR(DRE!E25/BALANCO_PATRIMONIAL!J18,0)</f>
        <v>0.7994098534</v>
      </c>
      <c r="G13" s="101" t="s">
        <v>363</v>
      </c>
      <c r="H13" s="102" t="s">
        <v>364</v>
      </c>
    </row>
    <row r="14" ht="18.0" customHeight="1">
      <c r="A14" s="1"/>
      <c r="B14" s="103" t="s">
        <v>365</v>
      </c>
      <c r="C14" s="104" t="s">
        <v>366</v>
      </c>
      <c r="D14" s="108">
        <f>IFERROR(DRE!C25/BALANCO_PATRIMONIAL!C16,0)</f>
        <v>0.5012500796</v>
      </c>
      <c r="E14" s="108">
        <f>IFERROR(DRE!D25/BALANCO_PATRIMONIAL!D16,0)</f>
        <v>0.6207444376</v>
      </c>
      <c r="F14" s="108">
        <f>IFERROR(DRE!E25/BALANCO_PATRIMONIAL!E16,0)</f>
        <v>0.661281675</v>
      </c>
      <c r="G14" s="106" t="s">
        <v>367</v>
      </c>
      <c r="H14" s="107" t="s">
        <v>368</v>
      </c>
    </row>
    <row r="15" ht="4.5" customHeight="1">
      <c r="A15" s="1"/>
      <c r="B15" s="1"/>
      <c r="C15" s="1"/>
      <c r="D15" s="1"/>
      <c r="E15" s="1"/>
      <c r="F15" s="1"/>
      <c r="G15" s="1"/>
      <c r="H15" s="1"/>
    </row>
    <row r="16" ht="21.75" customHeight="1">
      <c r="A16" s="1"/>
      <c r="B16" s="61" t="s">
        <v>369</v>
      </c>
      <c r="C16" s="62"/>
      <c r="D16" s="62"/>
      <c r="E16" s="62"/>
      <c r="F16" s="62"/>
      <c r="G16" s="62"/>
      <c r="H16" s="63"/>
    </row>
    <row r="17" ht="18.0" customHeight="1">
      <c r="A17" s="1"/>
      <c r="B17" s="98" t="s">
        <v>370</v>
      </c>
      <c r="C17" s="99" t="s">
        <v>371</v>
      </c>
      <c r="D17" s="109">
        <f>IFERROR(BALANCO_PATRIMONIAL!H20/BALANCO_PATRIMONIAL!C16,0)</f>
        <v>1.049857718</v>
      </c>
      <c r="E17" s="109">
        <f>IFERROR(BALANCO_PATRIMONIAL!I20/BALANCO_PATRIMONIAL!D16,0)</f>
        <v>0.9805104669</v>
      </c>
      <c r="F17" s="109">
        <f>IFERROR(BALANCO_PATRIMONIAL!J20/BALANCO_PATRIMONIAL!E16,0)</f>
        <v>0.9121634968</v>
      </c>
      <c r="G17" s="101" t="s">
        <v>372</v>
      </c>
      <c r="H17" s="102" t="s">
        <v>373</v>
      </c>
    </row>
    <row r="18" ht="18.0" customHeight="1">
      <c r="A18" s="1"/>
      <c r="B18" s="103" t="s">
        <v>374</v>
      </c>
      <c r="C18" s="104" t="s">
        <v>375</v>
      </c>
      <c r="D18" s="105">
        <f>IFERROR(BALANCO_PATRIMONIAL!H17/BALANCO_PATRIMONIAL!H16,"–")</f>
        <v>0.09547</v>
      </c>
      <c r="E18" s="105">
        <f>IFERROR(BALANCO_PATRIMONIAL!I17/BALANCO_PATRIMONIAL!I16,"–")</f>
        <v>0.14162</v>
      </c>
      <c r="F18" s="105">
        <f>IFERROR(BALANCO_PATRIMONIAL!J17/BALANCO_PATRIMONIAL!J16,"–")</f>
        <v>0.17259</v>
      </c>
      <c r="G18" s="106" t="s">
        <v>376</v>
      </c>
      <c r="H18" s="107" t="s">
        <v>377</v>
      </c>
    </row>
    <row r="19" ht="4.5" customHeight="1">
      <c r="A19" s="1"/>
      <c r="B19" s="1"/>
      <c r="C19" s="1"/>
      <c r="D19" s="110">
        <f>IFERROR(BALANCO_PATRIMONIAL!H20/BALANCO_PATRIMONIAL!H18,0)</f>
        <v>1.054132016</v>
      </c>
      <c r="E19" s="110">
        <f>IFERROR(BALANCO_PATRIMONIAL!I20/BALANCO_PATRIMONIAL!I18,0)</f>
        <v>1.070426236</v>
      </c>
      <c r="F19" s="110">
        <f>IFERROR(BALANCO_PATRIMONIAL!J20/BALANCO_PATRIMONIAL!J18,0)</f>
        <v>1.102695742</v>
      </c>
      <c r="G19" s="1"/>
      <c r="H19" s="1"/>
    </row>
    <row r="20" ht="21.75" customHeight="1">
      <c r="A20" s="1"/>
      <c r="B20" s="61" t="s">
        <v>378</v>
      </c>
      <c r="C20" s="62"/>
      <c r="D20" s="62"/>
      <c r="E20" s="62"/>
      <c r="F20" s="62"/>
      <c r="G20" s="62"/>
      <c r="H20" s="63"/>
    </row>
    <row r="21" ht="18.0" customHeight="1">
      <c r="A21" s="1"/>
      <c r="B21" s="98" t="s">
        <v>379</v>
      </c>
      <c r="C21" s="99" t="s">
        <v>380</v>
      </c>
      <c r="D21" s="109">
        <f>IFERROR(DRE!C8/BALANCO_PATRIMONIAL!C16,0)</f>
        <v>0.1638286073</v>
      </c>
      <c r="E21" s="109">
        <f>IFERROR(DRE!D8/BALANCO_PATRIMONIAL!D16,0)</f>
        <v>0.1967407788</v>
      </c>
      <c r="F21" s="109">
        <f>IFERROR(DRE!E8/BALANCO_PATRIMONIAL!E16,0)</f>
        <v>0.2088859416</v>
      </c>
      <c r="G21" s="101" t="s">
        <v>346</v>
      </c>
      <c r="H21" s="102" t="s">
        <v>381</v>
      </c>
    </row>
    <row r="22" ht="18.0" customHeight="1">
      <c r="A22" s="1"/>
      <c r="B22" s="103" t="s">
        <v>382</v>
      </c>
      <c r="C22" s="104" t="s">
        <v>383</v>
      </c>
      <c r="D22" s="111">
        <f>IFERROR(BALANCO_PATRIMONIAL!C6/DRE!C6*30,0)</f>
        <v>10.58823529</v>
      </c>
      <c r="E22" s="111">
        <f>IFERROR(BALANCO_PATRIMONIAL!D6/DRE!D6*30,0)</f>
        <v>19.14893617</v>
      </c>
      <c r="F22" s="111">
        <f>IFERROR(BALANCO_PATRIMONIAL!E6/DRE!E6*30,0)</f>
        <v>35.31914894</v>
      </c>
      <c r="G22" s="106" t="s">
        <v>384</v>
      </c>
      <c r="H22" s="107" t="s">
        <v>385</v>
      </c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6">
    <mergeCell ref="B1:H1"/>
    <mergeCell ref="B2:H2"/>
    <mergeCell ref="B4:H4"/>
    <mergeCell ref="B9:H9"/>
    <mergeCell ref="B16:H16"/>
    <mergeCell ref="B20:H2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5.0"/>
    <col customWidth="1" min="3" max="5" width="12.0"/>
    <col customWidth="1" min="6" max="7" width="14.0"/>
    <col customWidth="1" min="8" max="26" width="8.71"/>
  </cols>
  <sheetData>
    <row r="1" ht="15.75" customHeight="1">
      <c r="A1" s="1"/>
      <c r="B1" s="112" t="s">
        <v>386</v>
      </c>
      <c r="C1" s="23"/>
      <c r="D1" s="23"/>
      <c r="E1" s="23"/>
      <c r="F1" s="23"/>
      <c r="G1" s="3"/>
    </row>
    <row r="2" ht="15.75" customHeight="1">
      <c r="A2" s="1"/>
      <c r="B2" s="113" t="s">
        <v>387</v>
      </c>
      <c r="C2" s="113" t="s">
        <v>388</v>
      </c>
      <c r="D2" s="113" t="s">
        <v>389</v>
      </c>
      <c r="E2" s="113" t="s">
        <v>390</v>
      </c>
      <c r="F2" s="113" t="s">
        <v>391</v>
      </c>
      <c r="G2" s="113" t="s">
        <v>392</v>
      </c>
    </row>
    <row r="3" ht="15.75" customHeight="1">
      <c r="A3" s="1"/>
      <c r="B3" s="114" t="s">
        <v>393</v>
      </c>
      <c r="C3" s="62"/>
      <c r="D3" s="62"/>
      <c r="E3" s="62"/>
      <c r="F3" s="62"/>
      <c r="G3" s="63"/>
    </row>
    <row r="4" ht="15.75" customHeight="1">
      <c r="A4" s="1"/>
      <c r="B4" s="115" t="s">
        <v>58</v>
      </c>
      <c r="C4" s="116" t="s">
        <v>394</v>
      </c>
      <c r="D4" s="117">
        <v>135500.0</v>
      </c>
      <c r="E4" s="117">
        <v>37710.0</v>
      </c>
      <c r="F4" s="118">
        <f t="shared" ref="F4:F6" si="1">D4-E4</f>
        <v>97790</v>
      </c>
      <c r="G4" s="116" t="s">
        <v>395</v>
      </c>
    </row>
    <row r="5" ht="15.75" customHeight="1">
      <c r="A5" s="1"/>
      <c r="B5" s="119" t="s">
        <v>60</v>
      </c>
      <c r="C5" s="120" t="s">
        <v>394</v>
      </c>
      <c r="D5" s="117">
        <v>45200.0</v>
      </c>
      <c r="E5" s="117">
        <v>12000.0</v>
      </c>
      <c r="F5" s="121">
        <f t="shared" si="1"/>
        <v>33200</v>
      </c>
      <c r="G5" s="120" t="s">
        <v>395</v>
      </c>
    </row>
    <row r="6" ht="15.75" customHeight="1">
      <c r="A6" s="1"/>
      <c r="B6" s="115" t="s">
        <v>64</v>
      </c>
      <c r="C6" s="116" t="s">
        <v>394</v>
      </c>
      <c r="D6" s="117">
        <v>8000.0</v>
      </c>
      <c r="E6" s="117">
        <v>0.0</v>
      </c>
      <c r="F6" s="118">
        <f t="shared" si="1"/>
        <v>8000</v>
      </c>
      <c r="G6" s="116" t="s">
        <v>395</v>
      </c>
    </row>
    <row r="7" ht="15.75" customHeight="1">
      <c r="A7" s="1"/>
      <c r="B7" s="119" t="s">
        <v>396</v>
      </c>
      <c r="C7" s="120" t="s">
        <v>397</v>
      </c>
      <c r="D7" s="117">
        <v>0.0</v>
      </c>
      <c r="E7" s="117">
        <v>462.0</v>
      </c>
      <c r="F7" s="121">
        <f t="shared" ref="F7:F12" si="2">E7-D7</f>
        <v>462</v>
      </c>
      <c r="G7" s="120" t="s">
        <v>398</v>
      </c>
    </row>
    <row r="8" ht="15.75" customHeight="1">
      <c r="A8" s="1"/>
      <c r="B8" s="115" t="s">
        <v>73</v>
      </c>
      <c r="C8" s="116" t="s">
        <v>399</v>
      </c>
      <c r="D8" s="117">
        <v>2430.0</v>
      </c>
      <c r="E8" s="117">
        <v>4122.0</v>
      </c>
      <c r="F8" s="118">
        <f t="shared" si="2"/>
        <v>1692</v>
      </c>
      <c r="G8" s="116" t="s">
        <v>398</v>
      </c>
    </row>
    <row r="9" ht="15.75" customHeight="1">
      <c r="A9" s="1"/>
      <c r="B9" s="119" t="s">
        <v>77</v>
      </c>
      <c r="C9" s="120" t="s">
        <v>399</v>
      </c>
      <c r="D9" s="117">
        <v>1210.0</v>
      </c>
      <c r="E9" s="117">
        <v>200.0</v>
      </c>
      <c r="F9" s="121">
        <f t="shared" si="2"/>
        <v>-1010</v>
      </c>
      <c r="G9" s="120" t="s">
        <v>398</v>
      </c>
    </row>
    <row r="10" ht="15.75" customHeight="1">
      <c r="A10" s="1"/>
      <c r="B10" s="115" t="s">
        <v>79</v>
      </c>
      <c r="C10" s="116" t="s">
        <v>399</v>
      </c>
      <c r="D10" s="117">
        <v>0.0</v>
      </c>
      <c r="E10" s="117">
        <v>3250.0</v>
      </c>
      <c r="F10" s="118">
        <f t="shared" si="2"/>
        <v>3250</v>
      </c>
      <c r="G10" s="116" t="s">
        <v>398</v>
      </c>
    </row>
    <row r="11" ht="15.75" customHeight="1">
      <c r="A11" s="1"/>
      <c r="B11" s="119" t="s">
        <v>87</v>
      </c>
      <c r="C11" s="120" t="s">
        <v>400</v>
      </c>
      <c r="D11" s="117">
        <v>0.0</v>
      </c>
      <c r="E11" s="117">
        <v>100000.0</v>
      </c>
      <c r="F11" s="121">
        <f t="shared" si="2"/>
        <v>100000</v>
      </c>
      <c r="G11" s="120" t="s">
        <v>398</v>
      </c>
    </row>
    <row r="12" ht="15.75" customHeight="1">
      <c r="A12" s="1"/>
      <c r="B12" s="115" t="s">
        <v>93</v>
      </c>
      <c r="C12" s="116" t="s">
        <v>401</v>
      </c>
      <c r="D12" s="117">
        <v>0.0</v>
      </c>
      <c r="E12" s="117">
        <v>68700.0</v>
      </c>
      <c r="F12" s="118">
        <f t="shared" si="2"/>
        <v>68700</v>
      </c>
      <c r="G12" s="116" t="s">
        <v>398</v>
      </c>
    </row>
    <row r="13" ht="15.75" customHeight="1">
      <c r="A13" s="1"/>
      <c r="B13" s="119" t="s">
        <v>97</v>
      </c>
      <c r="C13" s="120" t="s">
        <v>401</v>
      </c>
      <c r="D13" s="117">
        <v>10500.0</v>
      </c>
      <c r="E13" s="117">
        <v>0.0</v>
      </c>
      <c r="F13" s="121">
        <f t="shared" ref="F13:F22" si="3">D13-E13</f>
        <v>10500</v>
      </c>
      <c r="G13" s="120" t="s">
        <v>395</v>
      </c>
    </row>
    <row r="14" ht="15.75" customHeight="1">
      <c r="A14" s="1"/>
      <c r="B14" s="115" t="s">
        <v>101</v>
      </c>
      <c r="C14" s="116" t="s">
        <v>401</v>
      </c>
      <c r="D14" s="117">
        <v>200.0</v>
      </c>
      <c r="E14" s="117">
        <v>0.0</v>
      </c>
      <c r="F14" s="118">
        <f t="shared" si="3"/>
        <v>200</v>
      </c>
      <c r="G14" s="116" t="s">
        <v>395</v>
      </c>
    </row>
    <row r="15" ht="15.75" customHeight="1">
      <c r="A15" s="1"/>
      <c r="B15" s="119" t="s">
        <v>103</v>
      </c>
      <c r="C15" s="120" t="s">
        <v>401</v>
      </c>
      <c r="D15" s="117">
        <v>3250.0</v>
      </c>
      <c r="E15" s="117">
        <v>0.0</v>
      </c>
      <c r="F15" s="121">
        <f t="shared" si="3"/>
        <v>3250</v>
      </c>
      <c r="G15" s="120" t="s">
        <v>395</v>
      </c>
    </row>
    <row r="16" ht="15.75" customHeight="1">
      <c r="A16" s="1"/>
      <c r="B16" s="115" t="s">
        <v>105</v>
      </c>
      <c r="C16" s="116" t="s">
        <v>401</v>
      </c>
      <c r="D16" s="117">
        <v>7470.0</v>
      </c>
      <c r="E16" s="117">
        <v>0.0</v>
      </c>
      <c r="F16" s="118">
        <f t="shared" si="3"/>
        <v>7470</v>
      </c>
      <c r="G16" s="116" t="s">
        <v>395</v>
      </c>
    </row>
    <row r="17" ht="15.75" customHeight="1">
      <c r="A17" s="1"/>
      <c r="B17" s="119" t="s">
        <v>107</v>
      </c>
      <c r="C17" s="120" t="s">
        <v>401</v>
      </c>
      <c r="D17" s="117">
        <v>3600.0</v>
      </c>
      <c r="E17" s="117">
        <v>0.0</v>
      </c>
      <c r="F17" s="121">
        <f t="shared" si="3"/>
        <v>3600</v>
      </c>
      <c r="G17" s="120" t="s">
        <v>395</v>
      </c>
    </row>
    <row r="18" ht="15.75" customHeight="1">
      <c r="A18" s="1"/>
      <c r="B18" s="115" t="s">
        <v>109</v>
      </c>
      <c r="C18" s="116" t="s">
        <v>401</v>
      </c>
      <c r="D18" s="117">
        <v>1530.0</v>
      </c>
      <c r="E18" s="117">
        <v>0.0</v>
      </c>
      <c r="F18" s="118">
        <f t="shared" si="3"/>
        <v>1530</v>
      </c>
      <c r="G18" s="116" t="s">
        <v>395</v>
      </c>
    </row>
    <row r="19" ht="15.75" customHeight="1">
      <c r="A19" s="1"/>
      <c r="B19" s="119" t="s">
        <v>111</v>
      </c>
      <c r="C19" s="120" t="s">
        <v>401</v>
      </c>
      <c r="D19" s="117">
        <v>320.0</v>
      </c>
      <c r="E19" s="117">
        <v>0.0</v>
      </c>
      <c r="F19" s="121">
        <f t="shared" si="3"/>
        <v>320</v>
      </c>
      <c r="G19" s="120" t="s">
        <v>395</v>
      </c>
    </row>
    <row r="20" ht="15.75" customHeight="1">
      <c r="A20" s="1"/>
      <c r="B20" s="115" t="s">
        <v>118</v>
      </c>
      <c r="C20" s="116" t="s">
        <v>401</v>
      </c>
      <c r="D20" s="117">
        <v>350.0</v>
      </c>
      <c r="E20" s="117">
        <v>0.0</v>
      </c>
      <c r="F20" s="118">
        <f t="shared" si="3"/>
        <v>350</v>
      </c>
      <c r="G20" s="116" t="s">
        <v>395</v>
      </c>
    </row>
    <row r="21" ht="15.75" customHeight="1">
      <c r="A21" s="1"/>
      <c r="B21" s="119" t="s">
        <v>115</v>
      </c>
      <c r="C21" s="120" t="s">
        <v>401</v>
      </c>
      <c r="D21" s="117">
        <v>4122.0</v>
      </c>
      <c r="E21" s="117">
        <v>0.0</v>
      </c>
      <c r="F21" s="121">
        <f t="shared" si="3"/>
        <v>4122</v>
      </c>
      <c r="G21" s="120" t="s">
        <v>395</v>
      </c>
    </row>
    <row r="22" ht="15.75" customHeight="1">
      <c r="A22" s="1"/>
      <c r="B22" s="115" t="s">
        <v>113</v>
      </c>
      <c r="C22" s="116" t="s">
        <v>401</v>
      </c>
      <c r="D22" s="117">
        <v>462.0</v>
      </c>
      <c r="E22" s="117">
        <v>0.0</v>
      </c>
      <c r="F22" s="118">
        <f t="shared" si="3"/>
        <v>462</v>
      </c>
      <c r="G22" s="116" t="s">
        <v>395</v>
      </c>
    </row>
    <row r="23" ht="15.75" customHeight="1">
      <c r="A23" s="1"/>
      <c r="B23" s="122"/>
      <c r="C23" s="122"/>
      <c r="D23" s="122"/>
      <c r="E23" s="122"/>
      <c r="F23" s="122"/>
      <c r="G23" s="122"/>
    </row>
    <row r="24" ht="15.75" customHeight="1">
      <c r="A24" s="1"/>
      <c r="B24" s="123" t="s">
        <v>402</v>
      </c>
      <c r="C24" s="62"/>
      <c r="D24" s="62"/>
      <c r="E24" s="62"/>
      <c r="F24" s="62"/>
      <c r="G24" s="63"/>
    </row>
    <row r="25" ht="15.75" customHeight="1">
      <c r="A25" s="1"/>
      <c r="B25" s="124" t="s">
        <v>403</v>
      </c>
      <c r="C25" s="125"/>
      <c r="D25" s="126">
        <f t="shared" ref="D25:E25" si="4">SUM(D4:D23)</f>
        <v>224144</v>
      </c>
      <c r="E25" s="126">
        <f t="shared" si="4"/>
        <v>226444</v>
      </c>
      <c r="F25" s="122"/>
      <c r="G25" s="122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</sheetData>
  <mergeCells count="4">
    <mergeCell ref="B1:G1"/>
    <mergeCell ref="B3:G3"/>
    <mergeCell ref="B24:G24"/>
    <mergeCell ref="B25:C25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5" width="16.0"/>
    <col customWidth="1" min="6" max="6" width="3.0"/>
    <col customWidth="1" min="7" max="7" width="30.0"/>
    <col customWidth="1" min="8" max="8" width="16.0"/>
    <col customWidth="1" min="9" max="26" width="8.71"/>
  </cols>
  <sheetData>
    <row r="1" ht="27.75" customHeight="1">
      <c r="A1" s="1"/>
      <c r="B1" s="22" t="s">
        <v>404</v>
      </c>
      <c r="C1" s="23"/>
      <c r="D1" s="23"/>
      <c r="E1" s="23"/>
      <c r="F1" s="23"/>
      <c r="G1" s="23"/>
      <c r="H1" s="3"/>
    </row>
    <row r="2" ht="21.75" customHeight="1">
      <c r="A2" s="1"/>
      <c r="B2" s="84" t="s">
        <v>405</v>
      </c>
      <c r="C2" s="62"/>
      <c r="D2" s="62"/>
      <c r="E2" s="63"/>
      <c r="F2" s="1"/>
      <c r="G2" s="1"/>
      <c r="H2" s="1"/>
    </row>
    <row r="3" ht="15.0" customHeight="1">
      <c r="A3" s="1"/>
      <c r="B3" s="81" t="s">
        <v>406</v>
      </c>
      <c r="C3" s="81" t="s">
        <v>276</v>
      </c>
      <c r="D3" s="81" t="s">
        <v>304</v>
      </c>
      <c r="E3" s="81" t="s">
        <v>305</v>
      </c>
      <c r="F3" s="1"/>
      <c r="G3" s="1"/>
      <c r="H3" s="1"/>
    </row>
    <row r="4" ht="18.0" customHeight="1">
      <c r="A4" s="1"/>
      <c r="B4" s="103" t="s">
        <v>407</v>
      </c>
      <c r="C4" s="127">
        <f>IFERROR(DRE!C6,"–")</f>
        <v>17000</v>
      </c>
      <c r="D4" s="127">
        <f>IFERROR(DRE!D6,"–")</f>
        <v>23500</v>
      </c>
      <c r="E4" s="127">
        <f>IFERROR(DRE!E6,"–")</f>
        <v>28200</v>
      </c>
      <c r="F4" s="1"/>
      <c r="G4" s="1"/>
      <c r="H4" s="1"/>
    </row>
    <row r="5" ht="18.0" customHeight="1">
      <c r="A5" s="1"/>
      <c r="B5" s="98" t="s">
        <v>408</v>
      </c>
      <c r="C5" s="128">
        <f>IFERROR(DRE!C8,"–")</f>
        <v>18020</v>
      </c>
      <c r="D5" s="128">
        <f>IFERROR(DRE!D8,"–")</f>
        <v>24520</v>
      </c>
      <c r="E5" s="128">
        <f>IFERROR(DRE!E8,"–")</f>
        <v>29610</v>
      </c>
      <c r="F5" s="1"/>
      <c r="G5" s="1"/>
      <c r="H5" s="1"/>
    </row>
    <row r="6" ht="18.0" customHeight="1">
      <c r="A6" s="1"/>
      <c r="B6" s="103" t="s">
        <v>409</v>
      </c>
      <c r="C6" s="127" t="str">
        <f>IFERROR(DRE!C20,"–")</f>
        <v/>
      </c>
      <c r="D6" s="127" t="str">
        <f>IFERROR(DRE!D20,"–")</f>
        <v/>
      </c>
      <c r="E6" s="127" t="str">
        <f>IFERROR(DRE!E20,"–")</f>
        <v/>
      </c>
      <c r="F6" s="1"/>
      <c r="G6" s="1"/>
      <c r="H6" s="1"/>
    </row>
    <row r="7" ht="18.0" customHeight="1">
      <c r="A7" s="1"/>
      <c r="B7" s="98" t="s">
        <v>410</v>
      </c>
      <c r="C7" s="128" t="str">
        <f>IFERROR(DRE!C26,"–")</f>
        <v/>
      </c>
      <c r="D7" s="128" t="str">
        <f>IFERROR(DRE!D26,"–")</f>
        <v/>
      </c>
      <c r="E7" s="128" t="str">
        <f>IFERROR(DRE!E26,"–")</f>
        <v/>
      </c>
      <c r="F7" s="1"/>
      <c r="G7" s="1"/>
      <c r="H7" s="1"/>
    </row>
    <row r="8" ht="18.0" customHeight="1">
      <c r="A8" s="1"/>
      <c r="B8" s="103" t="s">
        <v>411</v>
      </c>
      <c r="C8" s="129">
        <f>IFERROR(INDICES_FINANCEIROS!D10,"–")</f>
        <v>3.243176471</v>
      </c>
      <c r="D8" s="129">
        <f>IFERROR(INDICES_FINANCEIROS!E10,"–")</f>
        <v>3.292085106</v>
      </c>
      <c r="E8" s="129">
        <f>IFERROR(INDICES_FINANCEIROS!F10,"–")</f>
        <v>3.324042553</v>
      </c>
      <c r="F8" s="1"/>
      <c r="G8" s="1"/>
      <c r="H8" s="1"/>
    </row>
    <row r="9" ht="18.0" customHeight="1">
      <c r="A9" s="1"/>
      <c r="B9" s="98" t="s">
        <v>336</v>
      </c>
      <c r="C9" s="130">
        <f>IFERROR(INDICES_FINANCEIROS!D5,"–")</f>
        <v>17.17706577</v>
      </c>
      <c r="D9" s="130">
        <f>IFERROR(INDICES_FINANCEIROS!E5,"–")</f>
        <v>14.28358209</v>
      </c>
      <c r="E9" s="130">
        <f>IFERROR(INDICES_FINANCEIROS!F5,"–")</f>
        <v>10.87776117</v>
      </c>
      <c r="F9" s="1"/>
      <c r="G9" s="1"/>
      <c r="H9" s="1"/>
    </row>
    <row r="10" ht="18.0" customHeight="1">
      <c r="A10" s="1"/>
      <c r="B10" s="103" t="s">
        <v>412</v>
      </c>
      <c r="C10" s="129">
        <f>IFERROR(INDICES_FINANCEIROS!D13,"–")</f>
        <v>0.5032908249</v>
      </c>
      <c r="D10" s="129">
        <f>IFERROR(INDICES_FINANCEIROS!E13,"–")</f>
        <v>0.6776685762</v>
      </c>
      <c r="E10" s="129">
        <f>IFERROR(INDICES_FINANCEIROS!F13,"–")</f>
        <v>0.7994098534</v>
      </c>
      <c r="F10" s="1"/>
      <c r="G10" s="1"/>
      <c r="H10" s="1"/>
    </row>
    <row r="11" ht="18.0" customHeight="1">
      <c r="A11" s="1"/>
      <c r="B11" s="98" t="s">
        <v>413</v>
      </c>
      <c r="C11" s="131">
        <f>IFERROR(INDICES_FINANCEIROS!D18,"–")</f>
        <v>0.09547</v>
      </c>
      <c r="D11" s="131">
        <f>IFERROR(INDICES_FINANCEIROS!E18,"–")</f>
        <v>0.14162</v>
      </c>
      <c r="E11" s="131">
        <f>IFERROR(INDICES_FINANCEIROS!F18,"–")</f>
        <v>0.17259</v>
      </c>
      <c r="F11" s="1"/>
      <c r="G11" s="1"/>
      <c r="H11" s="1"/>
    </row>
    <row r="12" ht="18.0" customHeight="1">
      <c r="A12" s="1"/>
      <c r="B12" s="103" t="s">
        <v>414</v>
      </c>
      <c r="C12" s="132">
        <f>IFERROR(INDICES_FINANCEIROS!D22,"–")</f>
        <v>10.58823529</v>
      </c>
      <c r="D12" s="132">
        <f>IFERROR(INDICES_FINANCEIROS!E22,"–")</f>
        <v>19.14893617</v>
      </c>
      <c r="E12" s="132">
        <f>IFERROR(INDICES_FINANCEIROS!F22,"–")</f>
        <v>35.31914894</v>
      </c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 ht="21.75" customHeight="1">
      <c r="A14" s="1"/>
      <c r="B14" s="84" t="s">
        <v>415</v>
      </c>
      <c r="C14" s="62"/>
      <c r="D14" s="62"/>
      <c r="E14" s="63"/>
      <c r="F14" s="1"/>
      <c r="G14" s="1"/>
      <c r="H14" s="1"/>
    </row>
    <row r="15" ht="15.0" customHeight="1">
      <c r="A15" s="1"/>
      <c r="B15" s="81" t="s">
        <v>406</v>
      </c>
      <c r="C15" s="81" t="s">
        <v>416</v>
      </c>
      <c r="D15" s="81" t="s">
        <v>417</v>
      </c>
      <c r="E15" s="81" t="s">
        <v>418</v>
      </c>
      <c r="F15" s="1"/>
      <c r="G15" s="1"/>
      <c r="H15" s="1"/>
    </row>
    <row r="16" ht="18.0" customHeight="1">
      <c r="A16" s="1"/>
      <c r="B16" s="103" t="s">
        <v>419</v>
      </c>
      <c r="C16" s="133">
        <f t="shared" ref="C16:D16" si="1">IFERROR((D4-C4)/ABS(C4),0)</f>
        <v>0.3823529412</v>
      </c>
      <c r="D16" s="133">
        <f t="shared" si="1"/>
        <v>0.2</v>
      </c>
      <c r="E16" s="133">
        <f t="shared" ref="E16:E21" si="3">IFERROR((E4-C4)/ABS(C4),0)</f>
        <v>0.6588235294</v>
      </c>
      <c r="F16" s="1"/>
      <c r="G16" s="1"/>
      <c r="H16" s="1"/>
    </row>
    <row r="17" ht="18.0" customHeight="1">
      <c r="A17" s="1"/>
      <c r="B17" s="98" t="s">
        <v>420</v>
      </c>
      <c r="C17" s="134">
        <f t="shared" ref="C17:D17" si="2">IFERROR((D5-C5)/ABS(C5),0)</f>
        <v>0.3607103219</v>
      </c>
      <c r="D17" s="134">
        <f t="shared" si="2"/>
        <v>0.2075856444</v>
      </c>
      <c r="E17" s="134">
        <f t="shared" si="3"/>
        <v>0.6431742508</v>
      </c>
      <c r="F17" s="1"/>
      <c r="G17" s="1"/>
      <c r="H17" s="1"/>
    </row>
    <row r="18" ht="18.0" customHeight="1">
      <c r="A18" s="1"/>
      <c r="B18" s="103" t="s">
        <v>421</v>
      </c>
      <c r="C18" s="133">
        <f t="shared" ref="C18:D18" si="4">IFERROR((D6-C6)/ABS(C6),0)</f>
        <v>0</v>
      </c>
      <c r="D18" s="133">
        <f t="shared" si="4"/>
        <v>0</v>
      </c>
      <c r="E18" s="133">
        <f t="shared" si="3"/>
        <v>0</v>
      </c>
      <c r="F18" s="1"/>
      <c r="G18" s="1"/>
      <c r="H18" s="1"/>
    </row>
    <row r="19" ht="18.0" customHeight="1">
      <c r="A19" s="1"/>
      <c r="B19" s="98" t="s">
        <v>422</v>
      </c>
      <c r="C19" s="134">
        <f t="shared" ref="C19:D19" si="5">IFERROR((D7-C7)/ABS(C7),0)</f>
        <v>0</v>
      </c>
      <c r="D19" s="134">
        <f t="shared" si="5"/>
        <v>0</v>
      </c>
      <c r="E19" s="134">
        <f t="shared" si="3"/>
        <v>0</v>
      </c>
      <c r="F19" s="1"/>
      <c r="G19" s="1"/>
      <c r="H19" s="1"/>
    </row>
    <row r="20" ht="18.0" customHeight="1">
      <c r="A20" s="1"/>
      <c r="B20" s="103" t="s">
        <v>357</v>
      </c>
      <c r="C20" s="133">
        <f t="shared" ref="C20:D20" si="6">IFERROR((D8-C8)/ABS(C8),0)</f>
        <v>0.01508047318</v>
      </c>
      <c r="D20" s="133">
        <f t="shared" si="6"/>
        <v>0.009707357427</v>
      </c>
      <c r="E20" s="133">
        <f t="shared" si="3"/>
        <v>0.02493422215</v>
      </c>
      <c r="F20" s="1"/>
      <c r="G20" s="1"/>
      <c r="H20" s="1"/>
    </row>
    <row r="21" ht="15.0" customHeight="1">
      <c r="A21" s="1"/>
      <c r="B21" s="1"/>
      <c r="C21" s="135">
        <f t="shared" ref="C21:D21" si="7">IFERROR((D9-C9)/ABS(C9),0)</f>
        <v>-0.1684504046</v>
      </c>
      <c r="D21" s="135">
        <f t="shared" si="7"/>
        <v>-0.2384430529</v>
      </c>
      <c r="E21" s="135">
        <f t="shared" si="3"/>
        <v>-0.3667276288</v>
      </c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21.75" customHeight="1">
      <c r="A23" s="1"/>
      <c r="B23" s="136" t="s">
        <v>423</v>
      </c>
      <c r="C23" s="62"/>
      <c r="D23" s="62"/>
      <c r="E23" s="62"/>
      <c r="F23" s="62"/>
      <c r="G23" s="62"/>
      <c r="H23" s="63"/>
    </row>
    <row r="24" ht="39.75" customHeight="1">
      <c r="A24" s="1"/>
      <c r="B24" s="137" t="s">
        <v>424</v>
      </c>
      <c r="C24" s="138"/>
      <c r="D24" s="138"/>
      <c r="E24" s="138"/>
      <c r="F24" s="138"/>
      <c r="G24" s="138"/>
      <c r="H24" s="139"/>
    </row>
    <row r="25" ht="15.0" customHeight="1">
      <c r="A25" s="1"/>
      <c r="B25" s="140"/>
      <c r="C25" s="141"/>
      <c r="D25" s="141"/>
      <c r="E25" s="141"/>
      <c r="F25" s="141"/>
      <c r="G25" s="141"/>
      <c r="H25" s="142"/>
    </row>
    <row r="26" ht="39.75" customHeight="1">
      <c r="A26" s="1"/>
      <c r="B26" s="143" t="s">
        <v>425</v>
      </c>
      <c r="C26" s="138"/>
      <c r="D26" s="138"/>
      <c r="E26" s="138"/>
      <c r="F26" s="138"/>
      <c r="G26" s="138"/>
      <c r="H26" s="139"/>
    </row>
    <row r="27" ht="15.0" customHeight="1">
      <c r="A27" s="1"/>
      <c r="B27" s="140"/>
      <c r="C27" s="141"/>
      <c r="D27" s="141"/>
      <c r="E27" s="141"/>
      <c r="F27" s="141"/>
      <c r="G27" s="141"/>
      <c r="H27" s="142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6">
    <mergeCell ref="B1:H1"/>
    <mergeCell ref="B2:E2"/>
    <mergeCell ref="B14:E14"/>
    <mergeCell ref="B23:H23"/>
    <mergeCell ref="B24:H25"/>
    <mergeCell ref="B26:H27"/>
  </mergeCells>
  <printOptions/>
  <pageMargins bottom="1.0" footer="0.0" header="0.0" left="0.75" right="0.75" top="1.0"/>
  <pageSetup paperSize="9" orientation="portrait"/>
  <drawing r:id="rId1"/>
</worksheet>
</file>