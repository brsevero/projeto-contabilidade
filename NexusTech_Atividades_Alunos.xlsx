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OES" sheetId="1" state="visible" r:id="rId3"/>
    <sheet name="PLANO_CONTAS" sheetId="2" state="visible" r:id="rId4"/>
    <sheet name="LANCAMENTOS" sheetId="3" state="visible" r:id="rId5"/>
    <sheet name="DRE" sheetId="4" state="visible" r:id="rId6"/>
    <sheet name="BALANCO_PATRIMONIAL" sheetId="5" state="visible" r:id="rId7"/>
    <sheet name="INDICES_FINANCEIROS" sheetId="6" state="visible" r:id="rId8"/>
    <sheet name="BALANCETE" sheetId="7" state="visible" r:id="rId9"/>
    <sheet name="ANALISE_E_GRAFIC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<sst xmlns="http://schemas.openxmlformats.org/spreadsheetml/2006/main" count="756" uniqueCount="429">
  <si>
    <t xml:space="preserve">INFORMAÇÃO CONTÁBIL APLICADA À GESTÃO – UFAL Penedo</t>
  </si>
  <si>
    <t xml:space="preserve">Exercício Continuado – NexusTech Penedo Soluções Digitais Ltda.</t>
  </si>
  <si>
    <t xml:space="preserve">PROFESSOR</t>
  </si>
  <si>
    <t xml:space="preserve">Prof. Dr. Valber Gregory Barbosa Costa Bezerra Santos</t>
  </si>
  <si>
    <t xml:space="preserve">E-MAIL</t>
  </si>
  <si>
    <t xml:space="preserve">valber.santos@penedo.ufal.br</t>
  </si>
  <si>
    <t xml:space="preserve">DISCIPLINA</t>
  </si>
  <si>
    <t xml:space="preserve">SISB090 – Informação Contábil para Gestão</t>
  </si>
  <si>
    <t xml:space="preserve">PERÍODO</t>
  </si>
  <si>
    <t xml:space="preserve">2026.1 – UFAL, Unidade Penedo</t>
  </si>
  <si>
    <t xml:space="preserve">PRAZO FINAL</t>
  </si>
  <si>
    <t xml:space="preserve">22/06/2026</t>
  </si>
  <si>
    <t xml:space="preserve">OBJETIVO</t>
  </si>
  <si>
    <t xml:space="preserve">Registrar todos os lançamentos contábeis da NexusTech nos Meses 1, 2 e 3,
elaborar os demonstrativos financeiros e calcular os índices.</t>
  </si>
  <si>
    <t xml:space="preserve">📅  CRONOGRAMA DE ENTREGAS</t>
  </si>
  <si>
    <t xml:space="preserve">ENTREGA</t>
  </si>
  <si>
    <t xml:space="preserve">DESCRIÇÃO</t>
  </si>
  <si>
    <t xml:space="preserve">PRAZO</t>
  </si>
  <si>
    <t xml:space="preserve">FORMATO</t>
  </si>
  <si>
    <t xml:space="preserve">Entrega 1</t>
  </si>
  <si>
    <t xml:space="preserve">Contrato Social simplificado da sua empresa</t>
  </si>
  <si>
    <t xml:space="preserve">PDF/Word</t>
  </si>
  <si>
    <t xml:space="preserve">Entrega 2</t>
  </si>
  <si>
    <t xml:space="preserve">Planilha de lançamentos Mês 1 (mín. 10 transações) + Balancete</t>
  </si>
  <si>
    <t xml:space="preserve">Esta planilha</t>
  </si>
  <si>
    <t xml:space="preserve">Entrega 3</t>
  </si>
  <si>
    <t xml:space="preserve">DRE e BP do Mês 1 + indicadores calculados</t>
  </si>
  <si>
    <t xml:space="preserve">Aba desta planilha</t>
  </si>
  <si>
    <t xml:space="preserve">Entrega 4</t>
  </si>
  <si>
    <t xml:space="preserve">Planilha atualizada Mês 2 + análise comparativa Mês 1 vs. Mês 2</t>
  </si>
  <si>
    <t xml:space="preserve">Entrega 5</t>
  </si>
  <si>
    <t xml:space="preserve">Script Python + Banco de Dados SQLite (Aula 12)</t>
  </si>
  <si>
    <t xml:space="preserve">Pasta .zip</t>
  </si>
  <si>
    <t xml:space="preserve">Entrega 6</t>
  </si>
  <si>
    <t xml:space="preserve">Sistema Contábil-Financeiro Python (Aula 13)</t>
  </si>
  <si>
    <t xml:space="preserve">Entrega 7</t>
  </si>
  <si>
    <t xml:space="preserve">Relatório Financeiro Final PDF + análise escrita (Aula 14)</t>
  </si>
  <si>
    <t xml:space="preserve">PDF + .zip</t>
  </si>
  <si>
    <t xml:space="preserve">🎨  LEGENDA DE CORES</t>
  </si>
  <si>
    <t xml:space="preserve">  Exemplo  </t>
  </si>
  <si>
    <t xml:space="preserve">Células AZUIS em fundo AMARELO → Você deve preencher (input do aluno)</t>
  </si>
  <si>
    <t xml:space="preserve">Células com fundo BRANCO e texto PRETO → Fórmulas automáticas</t>
  </si>
  <si>
    <t xml:space="preserve">Células em fundo VERDE → Resultado / Saldo final</t>
  </si>
  <si>
    <t xml:space="preserve">Células em fundo ROSA/VERMELHO → Atenção / Verificar</t>
  </si>
  <si>
    <t xml:space="preserve">Células em fundo AZUL CLARO → Subtotais e totais</t>
  </si>
  <si>
    <t xml:space="preserve">PLANO DE CONTAS SIMPLIFICADO – NexusTech</t>
  </si>
  <si>
    <t xml:space="preserve">Use EXATAMENTE estes nomes nas colunas conta_debito e conta_credito da planilha de lançamentos</t>
  </si>
  <si>
    <t xml:space="preserve">Código</t>
  </si>
  <si>
    <t xml:space="preserve">Conta (nome exato)</t>
  </si>
  <si>
    <t xml:space="preserve">Natureza</t>
  </si>
  <si>
    <t xml:space="preserve">Tipo Saldo</t>
  </si>
  <si>
    <t xml:space="preserve">Grupo na DRE/BP</t>
  </si>
  <si>
    <t xml:space="preserve">1.1.01</t>
  </si>
  <si>
    <t xml:space="preserve">Caixa</t>
  </si>
  <si>
    <t xml:space="preserve">Ativo Circulante</t>
  </si>
  <si>
    <t xml:space="preserve">Devedor</t>
  </si>
  <si>
    <t xml:space="preserve">BP – Ativo</t>
  </si>
  <si>
    <t xml:space="preserve">1.1.02</t>
  </si>
  <si>
    <t xml:space="preserve">Banco</t>
  </si>
  <si>
    <t xml:space="preserve">1.1.03</t>
  </si>
  <si>
    <t xml:space="preserve">Clientes</t>
  </si>
  <si>
    <t xml:space="preserve">1.1.04</t>
  </si>
  <si>
    <t xml:space="preserve">Adiantamentos</t>
  </si>
  <si>
    <t xml:space="preserve">1.2.01</t>
  </si>
  <si>
    <t xml:space="preserve">Equipamentos de TI</t>
  </si>
  <si>
    <t xml:space="preserve">Ativo Não Circulante</t>
  </si>
  <si>
    <t xml:space="preserve">1.2.02</t>
  </si>
  <si>
    <t xml:space="preserve">Moveis e Utensilios</t>
  </si>
  <si>
    <t xml:space="preserve">1.2.03</t>
  </si>
  <si>
    <t xml:space="preserve">Depreciacao Acumulada</t>
  </si>
  <si>
    <t xml:space="preserve">Credor</t>
  </si>
  <si>
    <t xml:space="preserve">BP – Ativo (Retificadora)</t>
  </si>
  <si>
    <t xml:space="preserve">2.1.01</t>
  </si>
  <si>
    <t xml:space="preserve">DAS a Recolher</t>
  </si>
  <si>
    <t xml:space="preserve">Passivo Circulante</t>
  </si>
  <si>
    <t xml:space="preserve">BP – Passivo</t>
  </si>
  <si>
    <t xml:space="preserve">2.1.02</t>
  </si>
  <si>
    <t xml:space="preserve">FGTS a Recolher</t>
  </si>
  <si>
    <t xml:space="preserve">2.1.03</t>
  </si>
  <si>
    <t xml:space="preserve">INSS a Recolher</t>
  </si>
  <si>
    <t xml:space="preserve">2.1.04</t>
  </si>
  <si>
    <t xml:space="preserve">Salarios a Pagar</t>
  </si>
  <si>
    <t xml:space="preserve">2.1.05</t>
  </si>
  <si>
    <t xml:space="preserve">Fornecedores</t>
  </si>
  <si>
    <t xml:space="preserve">2.1.06</t>
  </si>
  <si>
    <t xml:space="preserve">Alugueis a Pagar</t>
  </si>
  <si>
    <t xml:space="preserve">3.1.01</t>
  </si>
  <si>
    <t xml:space="preserve">Capital Social</t>
  </si>
  <si>
    <t xml:space="preserve">Patrimônio Líquido</t>
  </si>
  <si>
    <t xml:space="preserve">BP – PL</t>
  </si>
  <si>
    <t xml:space="preserve">3.2.01</t>
  </si>
  <si>
    <t xml:space="preserve">Lucros Acumulados</t>
  </si>
  <si>
    <t xml:space="preserve">4.1.01</t>
  </si>
  <si>
    <t xml:space="preserve">Rec. Servicos</t>
  </si>
  <si>
    <t xml:space="preserve">Resultado – Receita</t>
  </si>
  <si>
    <t xml:space="preserve">DRE – Receita</t>
  </si>
  <si>
    <t xml:space="preserve">5.1.01</t>
  </si>
  <si>
    <t xml:space="preserve">Desp. Salarios</t>
  </si>
  <si>
    <t xml:space="preserve">Resultado – Despesa</t>
  </si>
  <si>
    <t xml:space="preserve">DRE – Despesa Oper.</t>
  </si>
  <si>
    <t xml:space="preserve">5.1.02</t>
  </si>
  <si>
    <t xml:space="preserve">Desp. FGTS</t>
  </si>
  <si>
    <t xml:space="preserve">5.1.03</t>
  </si>
  <si>
    <t xml:space="preserve">Desp. INSS Patronal</t>
  </si>
  <si>
    <t xml:space="preserve">5.1.04</t>
  </si>
  <si>
    <t xml:space="preserve">Desp. Pro-labore</t>
  </si>
  <si>
    <t xml:space="preserve">5.1.05</t>
  </si>
  <si>
    <t xml:space="preserve">Desp. Aluguel</t>
  </si>
  <si>
    <t xml:space="preserve">5.1.06</t>
  </si>
  <si>
    <t xml:space="preserve">Desp. Telecom</t>
  </si>
  <si>
    <t xml:space="preserve">5.1.07</t>
  </si>
  <si>
    <t xml:space="preserve">Desp. Mat. Escritorio</t>
  </si>
  <si>
    <t xml:space="preserve">5.1.08</t>
  </si>
  <si>
    <t xml:space="preserve">Desp. Depreciacao</t>
  </si>
  <si>
    <t xml:space="preserve">5.1.09</t>
  </si>
  <si>
    <t xml:space="preserve">Desp. Tributos</t>
  </si>
  <si>
    <t xml:space="preserve">DRE – Deduções</t>
  </si>
  <si>
    <t xml:space="preserve">5.1.10</t>
  </si>
  <si>
    <t xml:space="preserve">Desp. Pre-operacional</t>
  </si>
  <si>
    <t xml:space="preserve">DIÁRIO DE LANÇAMENTOS – NexusTech Penedo Soluções Digitais Ltda.</t>
  </si>
  <si>
    <t xml:space="preserve">⚠  REGRAS: (1) Preencha apenas células em AZUL/AMARELO  (2) Nomes de contas IDÊNTICOS ao Plano de Contas  (3) Datas: DD/MM/AAAA  (4) Valores: números sem R$ ou vírgula</t>
  </si>
  <si>
    <t xml:space="preserve">Mês</t>
  </si>
  <si>
    <t xml:space="preserve">N.º Lanç.</t>
  </si>
  <si>
    <t xml:space="preserve">Data</t>
  </si>
  <si>
    <t xml:space="preserve">Doc.</t>
  </si>
  <si>
    <t xml:space="preserve">Descrição</t>
  </si>
  <si>
    <t xml:space="preserve">Conta Débito</t>
  </si>
  <si>
    <t xml:space="preserve">Conta Crédito</t>
  </si>
  <si>
    <t xml:space="preserve">Valor (R$)</t>
  </si>
  <si>
    <t xml:space="preserve">Histórico</t>
  </si>
  <si>
    <t xml:space="preserve">  ◆  MÊS 1 – NexusTech Penedo Soluções Digitais Ltda.</t>
  </si>
  <si>
    <t xml:space="preserve">Mai</t>
  </si>
  <si>
    <t xml:space="preserve">01</t>
  </si>
  <si>
    <t xml:space="preserve">01/05/2026</t>
  </si>
  <si>
    <t xml:space="preserve">CS</t>
  </si>
  <si>
    <t xml:space="preserve">Integralização do capital social pelos sócios</t>
  </si>
  <si>
    <t xml:space="preserve">Marina 60% + Rafael 40%</t>
  </si>
  <si>
    <t xml:space="preserve">02</t>
  </si>
  <si>
    <t xml:space="preserve">02/05/2026</t>
  </si>
  <si>
    <t xml:space="preserve">NF</t>
  </si>
  <si>
    <t xml:space="preserve">Compra de equipamentos (2 notebooks) à vista</t>
  </si>
  <si>
    <t xml:space="preserve">Nota Fiscal 001</t>
  </si>
  <si>
    <t xml:space="preserve">03</t>
  </si>
  <si>
    <t xml:space="preserve">RC</t>
  </si>
  <si>
    <t xml:space="preserve">Pagamento de aluguel de sala – maio/2026</t>
  </si>
  <si>
    <t xml:space="preserve">Contrato de locação</t>
  </si>
  <si>
    <t xml:space="preserve">04</t>
  </si>
  <si>
    <t xml:space="preserve">03/05/2026</t>
  </si>
  <si>
    <t xml:space="preserve">Pagamento taxas de abertura – Junta/Alvará</t>
  </si>
  <si>
    <t xml:space="preserve">Comprovante JUCAL</t>
  </si>
  <si>
    <t xml:space="preserve">05</t>
  </si>
  <si>
    <t xml:space="preserve">05/05/2026</t>
  </si>
  <si>
    <t xml:space="preserve">REC</t>
  </si>
  <si>
    <t xml:space="preserve">Receita de consultoria – Cliente A (à vista)</t>
  </si>
  <si>
    <t xml:space="preserve">Contrato Consultoria A</t>
  </si>
  <si>
    <t xml:space="preserve">06</t>
  </si>
  <si>
    <t xml:space="preserve">10/05/2026</t>
  </si>
  <si>
    <t xml:space="preserve">NFS</t>
  </si>
  <si>
    <t xml:space="preserve">Receita de desenvolvimento – Cliente B (a prazo)</t>
  </si>
  <si>
    <t xml:space="preserve">NFS-e 0001 – venc. 10/06</t>
  </si>
  <si>
    <t xml:space="preserve">07</t>
  </si>
  <si>
    <t xml:space="preserve">31/05/2026</t>
  </si>
  <si>
    <t xml:space="preserve">FP</t>
  </si>
  <si>
    <t xml:space="preserve">Salário do funcionário CLT – maio/2026</t>
  </si>
  <si>
    <t xml:space="preserve">Folha maio</t>
  </si>
  <si>
    <t xml:space="preserve">08</t>
  </si>
  <si>
    <t xml:space="preserve">FGTS sobre salário (8%) – maio/2026</t>
  </si>
  <si>
    <t xml:space="preserve">Guia FGTS maio</t>
  </si>
  <si>
    <t xml:space="preserve">09</t>
  </si>
  <si>
    <t xml:space="preserve">INSS patronal (20%) sobre salário – maio/2026</t>
  </si>
  <si>
    <t xml:space="preserve">GPS maio</t>
  </si>
  <si>
    <t xml:space="preserve">10</t>
  </si>
  <si>
    <t xml:space="preserve">Pró-labore de Marina (administradora) – maio/2026</t>
  </si>
  <si>
    <t xml:space="preserve">Pró-labore líquido (desc. INSS 11%)</t>
  </si>
  <si>
    <t xml:space="preserve">10b</t>
  </si>
  <si>
    <t xml:space="preserve">INSS sobre pró-labore (11% sócio + 20% patronal)</t>
  </si>
  <si>
    <t xml:space="preserve">GPS pró-labore maio</t>
  </si>
  <si>
    <t xml:space="preserve">11</t>
  </si>
  <si>
    <t xml:space="preserve">Material de escritório – maio/2026</t>
  </si>
  <si>
    <t xml:space="preserve">NF material escritório</t>
  </si>
  <si>
    <t xml:space="preserve">12</t>
  </si>
  <si>
    <t xml:space="preserve">Internet + telefone – maio/2026</t>
  </si>
  <si>
    <t xml:space="preserve">Fatura telecom</t>
  </si>
  <si>
    <t xml:space="preserve">13</t>
  </si>
  <si>
    <t xml:space="preserve">15/05/2026</t>
  </si>
  <si>
    <t xml:space="preserve">Recebimento parcial – Cliente B (50%)</t>
  </si>
  <si>
    <t xml:space="preserve">TED recebida</t>
  </si>
  <si>
    <t xml:space="preserve">14</t>
  </si>
  <si>
    <t xml:space="preserve">GIA</t>
  </si>
  <si>
    <t xml:space="preserve">DAS – Simples Nacional apurado – maio/2026</t>
  </si>
  <si>
    <t xml:space="preserve">RB R$17.000 × 6%</t>
  </si>
  <si>
    <t xml:space="preserve">15</t>
  </si>
  <si>
    <t xml:space="preserve">AJ</t>
  </si>
  <si>
    <t xml:space="preserve">Depreciação equipamentos TI – maio/2026</t>
  </si>
  <si>
    <t xml:space="preserve">R$8.000÷60 meses</t>
  </si>
  <si>
    <t xml:space="preserve">  ◆  MÊS 2 – NexusTech Penedo Soluções Digitais Ltda.</t>
  </si>
  <si>
    <t xml:space="preserve">Jun</t>
  </si>
  <si>
    <t xml:space="preserve">16</t>
  </si>
  <si>
    <t xml:space="preserve">05/06/2026</t>
  </si>
  <si>
    <t xml:space="preserve">Receita de serviço – Cliente C (novo projeto, à vista)</t>
  </si>
  <si>
    <t xml:space="preserve">NFS-e 0002</t>
  </si>
  <si>
    <t xml:space="preserve">17</t>
  </si>
  <si>
    <t xml:space="preserve">10/06/2026</t>
  </si>
  <si>
    <t xml:space="preserve">Receita – Cliente B (continuação projeto maio)</t>
  </si>
  <si>
    <t xml:space="preserve">NFS-e 0003</t>
  </si>
  <si>
    <t xml:space="preserve">15/05</t>
  </si>
  <si>
    <t xml:space="preserve">Recebimento saldo Cliente B – maio</t>
  </si>
  <si>
    <t xml:space="preserve">TED recebida saldo</t>
  </si>
  <si>
    <t xml:space="preserve">18</t>
  </si>
  <si>
    <t xml:space="preserve">30/06/2026</t>
  </si>
  <si>
    <t xml:space="preserve">Salário funcionário CLT – junho/2026</t>
  </si>
  <si>
    <t xml:space="preserve">Folha junho</t>
  </si>
  <si>
    <t xml:space="preserve">19</t>
  </si>
  <si>
    <t xml:space="preserve">FGTS (8%) + INSS patronal (20%) – junho/2026</t>
  </si>
  <si>
    <t xml:space="preserve">Encargos junho</t>
  </si>
  <si>
    <t xml:space="preserve">20</t>
  </si>
  <si>
    <t xml:space="preserve">Pró-labore Marina – junho/2026</t>
  </si>
  <si>
    <t xml:space="preserve">Pró-labore líquido</t>
  </si>
  <si>
    <t xml:space="preserve">21</t>
  </si>
  <si>
    <t xml:space="preserve">Aluguel – junho/2026</t>
  </si>
  <si>
    <t xml:space="preserve">Contrato locação</t>
  </si>
  <si>
    <t xml:space="preserve">22</t>
  </si>
  <si>
    <t xml:space="preserve">Telecom + material escritório – junho/2026</t>
  </si>
  <si>
    <t xml:space="preserve">Faturas operacionais</t>
  </si>
  <si>
    <t xml:space="preserve">23</t>
  </si>
  <si>
    <t xml:space="preserve">GP</t>
  </si>
  <si>
    <t xml:space="preserve">Recolhimento DAS maio (do Passivo)</t>
  </si>
  <si>
    <t xml:space="preserve">DARF DAS maio</t>
  </si>
  <si>
    <t xml:space="preserve">24</t>
  </si>
  <si>
    <t xml:space="preserve">Recolhimento FGTS + INSS maio</t>
  </si>
  <si>
    <t xml:space="preserve">Guias maio</t>
  </si>
  <si>
    <t xml:space="preserve">25</t>
  </si>
  <si>
    <t xml:space="preserve">20/06/2026</t>
  </si>
  <si>
    <t xml:space="preserve">Compra de mesa e cadeiras (ativo fixo)</t>
  </si>
  <si>
    <t xml:space="preserve">NF mobiliário</t>
  </si>
  <si>
    <t xml:space="preserve">26</t>
  </si>
  <si>
    <t xml:space="preserve">DAS – Simples Nacional – junho/2026</t>
  </si>
  <si>
    <t xml:space="preserve">RB R$23.500 × 6%</t>
  </si>
  <si>
    <t xml:space="preserve">27</t>
  </si>
  <si>
    <t xml:space="preserve">Depreciação equipamentos + móveis – junho/2026</t>
  </si>
  <si>
    <t xml:space="preserve">Equiptos R$133 + Móv R$25</t>
  </si>
  <si>
    <t xml:space="preserve">  ◆  MÊS 3 – NexusTech Penedo Soluções Digitais Ltda.</t>
  </si>
  <si>
    <t xml:space="preserve">Jul</t>
  </si>
  <si>
    <t xml:space="preserve">28</t>
  </si>
  <si>
    <t xml:space="preserve">10/07/2026</t>
  </si>
  <si>
    <t xml:space="preserve">Receita serviço – Cliente D (à vista)</t>
  </si>
  <si>
    <t xml:space="preserve">NFS-e 0004 – preencher</t>
  </si>
  <si>
    <t xml:space="preserve">29</t>
  </si>
  <si>
    <t xml:space="preserve">Receita – Cliente B (3.º contrato, a prazo 45 dias)</t>
  </si>
  <si>
    <t xml:space="preserve">NFS-e 0005</t>
  </si>
  <si>
    <t xml:space="preserve">30</t>
  </si>
  <si>
    <t xml:space="preserve">31/07/2026</t>
  </si>
  <si>
    <t xml:space="preserve">Salário – 2 funcionários CLT – julho/2026</t>
  </si>
  <si>
    <t xml:space="preserve">Folha julho (2 func.)</t>
  </si>
  <si>
    <t xml:space="preserve">31</t>
  </si>
  <si>
    <t xml:space="preserve">FGTS + INSS patronal – julho/2026</t>
  </si>
  <si>
    <t xml:space="preserve">Encargos julho</t>
  </si>
  <si>
    <t xml:space="preserve">32</t>
  </si>
  <si>
    <t xml:space="preserve">Pró-labore Marina – julho/2026</t>
  </si>
  <si>
    <t xml:space="preserve">33</t>
  </si>
  <si>
    <t xml:space="preserve">Aluguel – julho/2026</t>
  </si>
  <si>
    <t xml:space="preserve">34</t>
  </si>
  <si>
    <t xml:space="preserve">Telecom + escritório – julho/2026</t>
  </si>
  <si>
    <t xml:space="preserve">35</t>
  </si>
  <si>
    <t xml:space="preserve">Recolhimento DAS junho</t>
  </si>
  <si>
    <t xml:space="preserve">DARF DAS junho</t>
  </si>
  <si>
    <t xml:space="preserve">36</t>
  </si>
  <si>
    <t xml:space="preserve">Compra impressora (ativo fixo)</t>
  </si>
  <si>
    <t xml:space="preserve">NF impressora</t>
  </si>
  <si>
    <t xml:space="preserve">37</t>
  </si>
  <si>
    <t xml:space="preserve">DAS – Simples Nacional – julho/2026</t>
  </si>
  <si>
    <t xml:space="preserve">RB R$28.200 × 6%</t>
  </si>
  <si>
    <t xml:space="preserve">38</t>
  </si>
  <si>
    <t xml:space="preserve">Depreciação todos os ativos – julho/2026</t>
  </si>
  <si>
    <t xml:space="preserve">Equiptos+Móv+Impr</t>
  </si>
  <si>
    <t xml:space="preserve">TOTAL GERAL DE VALORES LANÇADOS</t>
  </si>
  <si>
    <t xml:space="preserve">  ↓  ADICIONE AQUI LANÇAMENTOS ADICIONAIS DO MÊS 3 (se necessário)</t>
  </si>
  <si>
    <t xml:space="preserve">DEMONSTRAÇÃO DO RESULTADO DO EXERCÍCIO – DRE</t>
  </si>
  <si>
    <t xml:space="preserve">NexusTech Penedo Soluções Digitais Ltda.  |  Período: Maio a Julho/2026</t>
  </si>
  <si>
    <t xml:space="preserve">Maio/2026</t>
  </si>
  <si>
    <t xml:space="preserve">Junho/2026</t>
  </si>
  <si>
    <t xml:space="preserve">Julho/2026</t>
  </si>
  <si>
    <t xml:space="preserve">AV% Mai</t>
  </si>
  <si>
    <t xml:space="preserve">AV% Jun</t>
  </si>
  <si>
    <t xml:space="preserve">  RECEITAS</t>
  </si>
  <si>
    <t xml:space="preserve">1. Receita Bruta de Serviços</t>
  </si>
  <si>
    <t xml:space="preserve">   (–) DAS – Simples Nacional (6%)</t>
  </si>
  <si>
    <t xml:space="preserve">2. RECEITA LÍQUIDA</t>
  </si>
  <si>
    <t xml:space="preserve">  CUSTOS E DESPESAS OPERACIONAIS</t>
  </si>
  <si>
    <t xml:space="preserve">   (–) Salários e FGTS</t>
  </si>
  <si>
    <t xml:space="preserve">   (–) INSS Patronal (salário + pró-labore)</t>
  </si>
  <si>
    <t xml:space="preserve">   (–) Pró-labore (administradora)</t>
  </si>
  <si>
    <t xml:space="preserve">   (–) Aluguel</t>
  </si>
  <si>
    <t xml:space="preserve">   (–) Telecomunicações</t>
  </si>
  <si>
    <t xml:space="preserve">   (–) Material de Escritório</t>
  </si>
  <si>
    <t xml:space="preserve">   (–) Despesas Pré-operacionais</t>
  </si>
  <si>
    <t xml:space="preserve">   (–) Depreciação de Equipamentos</t>
  </si>
  <si>
    <t xml:space="preserve">3. TOTAL DESPESAS OPERACIONAIS</t>
  </si>
  <si>
    <t xml:space="preserve">4. RESULTADO OPERACIONAL (EBIT)</t>
  </si>
  <si>
    <t xml:space="preserve">   (+/–) Resultado Financeiro</t>
  </si>
  <si>
    <t xml:space="preserve">5. LAIR (Lucro Antes do IR)</t>
  </si>
  <si>
    <t xml:space="preserve">   (–) IRPJ / CSLL (Simples – já no DAS)</t>
  </si>
  <si>
    <t xml:space="preserve">LUCRO LÍQUIDO DO EXERCÍCIO ✓</t>
  </si>
  <si>
    <t xml:space="preserve">Nota: Valores em AZUL/AMARELO devem ser preenchidos pelo aluno. Valores em PRETO são calculados automaticamente. AV% = Análise Vertical em relação à Receita Bruta.</t>
  </si>
  <si>
    <t xml:space="preserve">BALANÇO PATRIMONIAL – NexusTech Penedo Soluções Digitais Ltda.</t>
  </si>
  <si>
    <t xml:space="preserve">ATIVO</t>
  </si>
  <si>
    <t xml:space="preserve">Jun/2026</t>
  </si>
  <si>
    <t xml:space="preserve">Jul/2026</t>
  </si>
  <si>
    <t xml:space="preserve">PASSIVO + PL</t>
  </si>
  <si>
    <t xml:space="preserve">  ATIVO CIRCULANTE</t>
  </si>
  <si>
    <t xml:space="preserve">  PASSIVO CIRCULANTE</t>
  </si>
  <si>
    <t xml:space="preserve">Clientes (a receber)</t>
  </si>
  <si>
    <t xml:space="preserve">Salários a Pagar</t>
  </si>
  <si>
    <t xml:space="preserve">TOTAL ATIVO CIRCULANTE</t>
  </si>
  <si>
    <t xml:space="preserve">Aluguéis a Pagar</t>
  </si>
  <si>
    <t xml:space="preserve">TOTAL PASSIVO CIRCULANTE</t>
  </si>
  <si>
    <t xml:space="preserve">  ATIVO NÃO CIRCULANTE</t>
  </si>
  <si>
    <t xml:space="preserve">  PASSIVO NÃO CIRCULANTE</t>
  </si>
  <si>
    <t xml:space="preserve">Móveis e Utensílios</t>
  </si>
  <si>
    <t xml:space="preserve">Empréstimos LP</t>
  </si>
  <si>
    <t xml:space="preserve">(–) Depreciação Acumulada</t>
  </si>
  <si>
    <t xml:space="preserve">TOTAL PNC</t>
  </si>
  <si>
    <t xml:space="preserve">TOTAL ATIVO NÃO CIRCULANTE</t>
  </si>
  <si>
    <t xml:space="preserve">  PATRIMÔNIO LÍQUIDO</t>
  </si>
  <si>
    <t xml:space="preserve">TOTAL GERAL DO ATIVO</t>
  </si>
  <si>
    <t xml:space="preserve">TOTAL PL</t>
  </si>
  <si>
    <t xml:space="preserve">TOTAL PASSIVO + PL</t>
  </si>
  <si>
    <t xml:space="preserve">  ✔  VERIFICAÇÃO: Ativo deve ser igual a Passivo + PL</t>
  </si>
  <si>
    <t xml:space="preserve">  Diferença Maio (deve ser R$ 0,00):</t>
  </si>
  <si>
    <t xml:space="preserve">  Diferença Junho (deve ser R$ 0,00):</t>
  </si>
  <si>
    <t xml:space="preserve">  Diferença Julho (deve ser R$ 0,00):</t>
  </si>
  <si>
    <t xml:space="preserve">ANÁLISE DE ÍNDICES FINANCEIROS – NexusTech Penedo</t>
  </si>
  <si>
    <t xml:space="preserve">⚠  Preencha os valores do BP e DRE nas abas correspondentes. Os índices são calculados automaticamente a partir dos dados lançados.</t>
  </si>
  <si>
    <t xml:space="preserve">Índice</t>
  </si>
  <si>
    <t xml:space="preserve">Fórmula</t>
  </si>
  <si>
    <t xml:space="preserve">Referência</t>
  </si>
  <si>
    <t xml:space="preserve">Interpretação</t>
  </si>
  <si>
    <t xml:space="preserve">  ÍNDICES DE LIQUIDEZ</t>
  </si>
  <si>
    <t xml:space="preserve">Liquidez Corrente</t>
  </si>
  <si>
    <t xml:space="preserve">AC ÷ PC</t>
  </si>
  <si>
    <t xml:space="preserve">&gt; 1,5 (ótimo)</t>
  </si>
  <si>
    <t xml:space="preserve">Quanto &gt; 1, maior a folga de curto prazo</t>
  </si>
  <si>
    <t xml:space="preserve">Liquidez Seca</t>
  </si>
  <si>
    <t xml:space="preserve">(AC – Estoques) ÷ PC</t>
  </si>
  <si>
    <t xml:space="preserve">&gt; 1,0</t>
  </si>
  <si>
    <t xml:space="preserve">Sem estoque (serviços) = igual à LC</t>
  </si>
  <si>
    <t xml:space="preserve">Liquidez Imediata</t>
  </si>
  <si>
    <t xml:space="preserve">(Caixa + Banco) ÷ PC</t>
  </si>
  <si>
    <t xml:space="preserve">&gt; 0,5</t>
  </si>
  <si>
    <t xml:space="preserve">Capacidade de pagamento imediato</t>
  </si>
  <si>
    <t xml:space="preserve">  ÍNDICES DE RENTABILIDADE</t>
  </si>
  <si>
    <t xml:space="preserve">Margem Bruta</t>
  </si>
  <si>
    <t xml:space="preserve">Lucro Bruto ÷ Receita Líquida</t>
  </si>
  <si>
    <t xml:space="preserve">Quanto maior, melhor</t>
  </si>
  <si>
    <t xml:space="preserve">100% para empresas de serviços puro</t>
  </si>
  <si>
    <t xml:space="preserve">Margem Operacional (EBIT)</t>
  </si>
  <si>
    <t xml:space="preserve">EBIT ÷ Receita Líquida</t>
  </si>
  <si>
    <t xml:space="preserve">&gt; 15% saudável</t>
  </si>
  <si>
    <t xml:space="preserve">Eficiência das operações</t>
  </si>
  <si>
    <t xml:space="preserve">Margem Líquida</t>
  </si>
  <si>
    <t xml:space="preserve">Lucro Líquido ÷ Receita Bruta</t>
  </si>
  <si>
    <t xml:space="preserve">&gt; 10% saudável</t>
  </si>
  <si>
    <t xml:space="preserve">Quanto sobra de cada R$1 faturado</t>
  </si>
  <si>
    <t xml:space="preserve">ROE – Retorno s/ PL</t>
  </si>
  <si>
    <t xml:space="preserve">Lucro Líquido ÷ PL</t>
  </si>
  <si>
    <t xml:space="preserve">&gt; 12% a.a.</t>
  </si>
  <si>
    <t xml:space="preserve">Retorno gerado para os sócios</t>
  </si>
  <si>
    <t xml:space="preserve">ROA – Retorno s/ Ativo Total</t>
  </si>
  <si>
    <t xml:space="preserve">Lucro Líquido ÷ Ativo Total</t>
  </si>
  <si>
    <t xml:space="preserve">&gt; 8% a.a.</t>
  </si>
  <si>
    <t xml:space="preserve">Eficiência de todos os ativos</t>
  </si>
  <si>
    <t xml:space="preserve">  ÍNDICES DE ESTRUTURA DE CAPITAL</t>
  </si>
  <si>
    <t xml:space="preserve">Endividamento Geral</t>
  </si>
  <si>
    <t xml:space="preserve">Passivo Total ÷ Ativo Total</t>
  </si>
  <si>
    <t xml:space="preserve">&lt; 50% saudável</t>
  </si>
  <si>
    <t xml:space="preserve">Quanto do ativo é financiado por terceiros</t>
  </si>
  <si>
    <t xml:space="preserve">Grau de Alavancagem Financeira</t>
  </si>
  <si>
    <t xml:space="preserve">Passivo Total ÷ PL</t>
  </si>
  <si>
    <t xml:space="preserve">&lt; 1,0 conservador</t>
  </si>
  <si>
    <t xml:space="preserve">Relação dívida / capital próprio</t>
  </si>
  <si>
    <t xml:space="preserve">  ÍNDICES DE ATIVIDADE</t>
  </si>
  <si>
    <t xml:space="preserve">Giro do Ativo</t>
  </si>
  <si>
    <t xml:space="preserve">Receita Líquida ÷ Ativo Total</t>
  </si>
  <si>
    <t xml:space="preserve">Eficiência na geração de receita</t>
  </si>
  <si>
    <t xml:space="preserve">PMRV – Prazo Médio Receb.</t>
  </si>
  <si>
    <t xml:space="preserve">(Clientes ÷ Receita Bruta) × 30</t>
  </si>
  <si>
    <t xml:space="preserve">&lt; 30 dias ideal</t>
  </si>
  <si>
    <t xml:space="preserve">Quanto tempo leva para receber</t>
  </si>
  <si>
    <t xml:space="preserve">BALANCETE DE VERIFICAÇÃO – NexusTech (Meses 1, 2 e 3)</t>
  </si>
  <si>
    <t xml:space="preserve">Conta</t>
  </si>
  <si>
    <t xml:space="preserve">Nat.</t>
  </si>
  <si>
    <t xml:space="preserve">Débitos (R$)</t>
  </si>
  <si>
    <t xml:space="preserve">Créditos (R$)</t>
  </si>
  <si>
    <t xml:space="preserve">Saldo (R$)</t>
  </si>
  <si>
    <t xml:space="preserve">D/C</t>
  </si>
  <si>
    <t xml:space="preserve">  Maio/2026 – Mês 1</t>
  </si>
  <si>
    <t xml:space="preserve">Ativo</t>
  </si>
  <si>
    <t xml:space="preserve">D</t>
  </si>
  <si>
    <t xml:space="preserve">Depreciação Acumulada</t>
  </si>
  <si>
    <t xml:space="preserve">Retif. Ativo</t>
  </si>
  <si>
    <t xml:space="preserve">C</t>
  </si>
  <si>
    <t xml:space="preserve">Passivo</t>
  </si>
  <si>
    <t xml:space="preserve">PL</t>
  </si>
  <si>
    <t xml:space="preserve">Resultado</t>
  </si>
  <si>
    <t xml:space="preserve">  TOTAIS DO BALANCETE – VERIFICAÇÃO</t>
  </si>
  <si>
    <t xml:space="preserve">  TOTAL CRÉDITOS</t>
  </si>
  <si>
    <t xml:space="preserve">Se Total Débitos = Total Créditos → Balancete correto (princípio das partidas dobradas)</t>
  </si>
  <si>
    <t xml:space="preserve">ANÁLISE COMPARATIVA E DASHBOARD DE INDICADORES</t>
  </si>
  <si>
    <t xml:space="preserve">  EVOLUÇÃO DOS INDICADORES (Meses 1, 2 e 3)</t>
  </si>
  <si>
    <t xml:space="preserve">Indicador</t>
  </si>
  <si>
    <t xml:space="preserve">Receita Bruta (R$)</t>
  </si>
  <si>
    <t xml:space="preserve">Receita Líquida (R$)</t>
  </si>
  <si>
    <t xml:space="preserve">Despesas Operacionais (R$)</t>
  </si>
  <si>
    <t xml:space="preserve">Lucro Líquido (R$)</t>
  </si>
  <si>
    <t xml:space="preserve">Margem Líquida (%)</t>
  </si>
  <si>
    <t xml:space="preserve">ROE (%)</t>
  </si>
  <si>
    <t xml:space="preserve">Endividamento Geral (%)</t>
  </si>
  <si>
    <t xml:space="preserve">PMRV (dias)</t>
  </si>
  <si>
    <t xml:space="preserve">  ANÁLISE HORIZONTAL – VARIAÇÕES</t>
  </si>
  <si>
    <t xml:space="preserve">Var. Mai→Jun</t>
  </si>
  <si>
    <t xml:space="preserve">Var. Jun→Jul</t>
  </si>
  <si>
    <t xml:space="preserve">Var. Total</t>
  </si>
  <si>
    <t xml:space="preserve">Receita Bruta</t>
  </si>
  <si>
    <t xml:space="preserve">Receita Líquida</t>
  </si>
  <si>
    <t xml:space="preserve">Desp. Operacionais</t>
  </si>
  <si>
    <t xml:space="preserve">Lucro Líquido</t>
  </si>
  <si>
    <t xml:space="preserve">  ANÁLISE GERENCIAL (texto livre do aluno)</t>
  </si>
  <si>
    <t xml:space="preserve">Pontos Fortes identificados:
1.
2.</t>
  </si>
  <si>
    <t xml:space="preserve">Pontos de Atenção / Riscos:
1.
2.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</si>
</sst>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R$ &quot;#,##0.00"/>
    <numFmt numFmtId="166" formatCode="&quot;R$ &quot;#,##0.00;&quot;(R$ &quot;#,##0.00\);\-"/>
    <numFmt numFmtId="167" formatCode="0.0%"/>
    <numFmt numFmtId="168" formatCode="0.00"/>
    <numFmt numFmtId="169" formatCode="0.0&quot; dias&quot;"/>
    <numFmt numFmtId="170" formatCode="#,##0.00"/>
    <numFmt numFmtId="171" formatCode="&quot;R$ &quot;#,##0"/>
    <numFmt numFmtId="172" formatCode="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color rgb="FFB41E1E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B41E1E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8"/>
      <color rgb="FFB41E1E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9"/>
      <color rgb="FF22783C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9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22783C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i val="true"/>
      <sz val="8"/>
      <color rgb="FF22783C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2E6DB4"/>
      </patternFill>
    </fill>
    <fill>
      <patternFill patternType="solid">
        <fgColor rgb="FFF2F2F2"/>
        <bgColor rgb="FFEAF4E9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AF4E9"/>
      </patternFill>
    </fill>
    <fill>
      <patternFill patternType="solid">
        <fgColor rgb="FFFFC7CE"/>
        <bgColor rgb="FFFCE4D6"/>
      </patternFill>
    </fill>
    <fill>
      <patternFill patternType="solid">
        <fgColor rgb="FFBDD7EE"/>
        <bgColor rgb="FFDEEAF1"/>
      </patternFill>
    </fill>
    <fill>
      <patternFill patternType="solid">
        <fgColor rgb="FFDEEAF1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AF4E9"/>
        <bgColor rgb="FFF2F2F2"/>
      </patternFill>
    </fill>
    <fill>
      <patternFill patternType="solid">
        <fgColor rgb="FF2E6DB4"/>
        <bgColor rgb="FF4472C4"/>
      </patternFill>
    </fill>
    <fill>
      <patternFill patternType="solid">
        <fgColor rgb="FF22783C"/>
        <bgColor rgb="FF008080"/>
      </patternFill>
    </fill>
    <fill>
      <patternFill patternType="solid">
        <fgColor rgb="FFE7E6E6"/>
        <bgColor rgb="FFDEEAF1"/>
      </patternFill>
    </fill>
    <fill>
      <patternFill patternType="solid">
        <fgColor rgb="FFB41E1E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5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2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6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3" fillId="11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78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2E6DB4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9"/>
      <rgbColor rgb="FFE2EFDA"/>
      <rgbColor rgb="FFFCE4D6"/>
      <rgbColor rgb="FFE7E6E6"/>
      <rgbColor rgb="FFF2F2F2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41E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0"/>
    <col collapsed="false" customWidth="true" hidden="false" outlineLevel="0" max="3" min="3" style="1" width="40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2" t="s">
        <v>0</v>
      </c>
      <c r="C2" s="2"/>
    </row>
    <row r="3" customFormat="false" ht="24.75" hidden="false" customHeight="true" outlineLevel="0" collapsed="false">
      <c r="B3" s="3" t="s">
        <v>1</v>
      </c>
      <c r="C3" s="3"/>
    </row>
    <row r="5" customFormat="false" ht="19.5" hidden="false" customHeight="true" outlineLevel="0" collapsed="false">
      <c r="B5" s="4" t="s">
        <v>2</v>
      </c>
      <c r="C5" s="5" t="s">
        <v>3</v>
      </c>
    </row>
    <row r="6" customFormat="false" ht="19.5" hidden="false" customHeight="true" outlineLevel="0" collapsed="false">
      <c r="B6" s="4" t="s">
        <v>4</v>
      </c>
      <c r="C6" s="5" t="s">
        <v>5</v>
      </c>
    </row>
    <row r="7" customFormat="false" ht="19.5" hidden="false" customHeight="true" outlineLevel="0" collapsed="false">
      <c r="B7" s="4" t="s">
        <v>6</v>
      </c>
      <c r="C7" s="5" t="s">
        <v>7</v>
      </c>
    </row>
    <row r="8" customFormat="false" ht="19.5" hidden="false" customHeight="true" outlineLevel="0" collapsed="false">
      <c r="B8" s="4" t="s">
        <v>8</v>
      </c>
      <c r="C8" s="5" t="s">
        <v>9</v>
      </c>
    </row>
    <row r="9" customFormat="false" ht="19.5" hidden="false" customHeight="true" outlineLevel="0" collapsed="false">
      <c r="B9" s="4" t="s">
        <v>10</v>
      </c>
      <c r="C9" s="5" t="s">
        <v>11</v>
      </c>
    </row>
    <row r="11" customFormat="false" ht="19.5" hidden="false" customHeight="true" outlineLevel="0" collapsed="false">
      <c r="B11" s="4" t="s">
        <v>12</v>
      </c>
      <c r="C11" s="5" t="s">
        <v>13</v>
      </c>
    </row>
    <row r="14" customFormat="false" ht="21.75" hidden="false" customHeight="true" outlineLevel="0" collapsed="false">
      <c r="B14" s="6" t="s">
        <v>14</v>
      </c>
      <c r="C14" s="6"/>
    </row>
    <row r="15" customFormat="false" ht="19.5" hidden="false" customHeight="true" outlineLevel="0" collapsed="false">
      <c r="B15" s="7" t="s">
        <v>15</v>
      </c>
      <c r="C15" s="7" t="s">
        <v>16</v>
      </c>
      <c r="D15" s="7" t="s">
        <v>17</v>
      </c>
      <c r="E15" s="7" t="s">
        <v>18</v>
      </c>
    </row>
    <row r="16" customFormat="false" ht="19.5" hidden="false" customHeight="true" outlineLevel="0" collapsed="false">
      <c r="B16" s="8" t="s">
        <v>19</v>
      </c>
      <c r="C16" s="9" t="s">
        <v>20</v>
      </c>
      <c r="D16" s="10" t="s">
        <v>11</v>
      </c>
      <c r="E16" s="9" t="s">
        <v>21</v>
      </c>
    </row>
    <row r="17" customFormat="false" ht="19.5" hidden="false" customHeight="true" outlineLevel="0" collapsed="false">
      <c r="B17" s="11" t="s">
        <v>22</v>
      </c>
      <c r="C17" s="12" t="s">
        <v>23</v>
      </c>
      <c r="D17" s="13" t="s">
        <v>11</v>
      </c>
      <c r="E17" s="12" t="s">
        <v>24</v>
      </c>
    </row>
    <row r="18" customFormat="false" ht="19.5" hidden="false" customHeight="true" outlineLevel="0" collapsed="false">
      <c r="B18" s="8" t="s">
        <v>25</v>
      </c>
      <c r="C18" s="9" t="s">
        <v>26</v>
      </c>
      <c r="D18" s="10" t="s">
        <v>11</v>
      </c>
      <c r="E18" s="9" t="s">
        <v>27</v>
      </c>
    </row>
    <row r="19" customFormat="false" ht="19.5" hidden="false" customHeight="true" outlineLevel="0" collapsed="false">
      <c r="B19" s="11" t="s">
        <v>28</v>
      </c>
      <c r="C19" s="12" t="s">
        <v>29</v>
      </c>
      <c r="D19" s="13" t="s">
        <v>11</v>
      </c>
      <c r="E19" s="12" t="s">
        <v>24</v>
      </c>
    </row>
    <row r="20" customFormat="false" ht="19.5" hidden="false" customHeight="true" outlineLevel="0" collapsed="false">
      <c r="B20" s="8" t="s">
        <v>30</v>
      </c>
      <c r="C20" s="9" t="s">
        <v>31</v>
      </c>
      <c r="D20" s="10" t="s">
        <v>11</v>
      </c>
      <c r="E20" s="9" t="s">
        <v>32</v>
      </c>
    </row>
    <row r="21" customFormat="false" ht="19.5" hidden="false" customHeight="true" outlineLevel="0" collapsed="false">
      <c r="B21" s="11" t="s">
        <v>33</v>
      </c>
      <c r="C21" s="12" t="s">
        <v>34</v>
      </c>
      <c r="D21" s="13" t="s">
        <v>11</v>
      </c>
      <c r="E21" s="12" t="s">
        <v>32</v>
      </c>
    </row>
    <row r="22" customFormat="false" ht="19.5" hidden="false" customHeight="true" outlineLevel="0" collapsed="false">
      <c r="B22" s="8" t="s">
        <v>35</v>
      </c>
      <c r="C22" s="9" t="s">
        <v>36</v>
      </c>
      <c r="D22" s="10" t="s">
        <v>11</v>
      </c>
      <c r="E22" s="9" t="s">
        <v>37</v>
      </c>
    </row>
    <row r="24" customFormat="false" ht="21.75" hidden="false" customHeight="true" outlineLevel="0" collapsed="false">
      <c r="B24" s="6" t="s">
        <v>38</v>
      </c>
      <c r="C24" s="6"/>
    </row>
    <row r="25" customFormat="false" ht="18" hidden="false" customHeight="true" outlineLevel="0" collapsed="false">
      <c r="B25" s="14" t="s">
        <v>39</v>
      </c>
      <c r="C25" s="15" t="s">
        <v>40</v>
      </c>
    </row>
    <row r="26" customFormat="false" ht="18" hidden="false" customHeight="true" outlineLevel="0" collapsed="false">
      <c r="B26" s="16" t="s">
        <v>39</v>
      </c>
      <c r="C26" s="15" t="s">
        <v>41</v>
      </c>
    </row>
    <row r="27" customFormat="false" ht="18" hidden="false" customHeight="true" outlineLevel="0" collapsed="false">
      <c r="B27" s="17" t="s">
        <v>39</v>
      </c>
      <c r="C27" s="15" t="s">
        <v>42</v>
      </c>
    </row>
    <row r="28" customFormat="false" ht="18" hidden="false" customHeight="true" outlineLevel="0" collapsed="false">
      <c r="B28" s="18" t="s">
        <v>39</v>
      </c>
      <c r="C28" s="15" t="s">
        <v>43</v>
      </c>
    </row>
    <row r="29" customFormat="false" ht="18" hidden="false" customHeight="true" outlineLevel="0" collapsed="false">
      <c r="B29" s="19" t="s">
        <v>39</v>
      </c>
      <c r="C29" s="15" t="s">
        <v>44</v>
      </c>
    </row>
  </sheetData>
  <mergeCells count="4">
    <mergeCell ref="B2:C2"/>
    <mergeCell ref="B3:C3"/>
    <mergeCell ref="B14:C14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35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35"/>
  </cols>
  <sheetData>
    <row r="1" customFormat="false" ht="27.75" hidden="false" customHeight="true" outlineLevel="0" collapsed="false">
      <c r="B1" s="20" t="s">
        <v>45</v>
      </c>
      <c r="C1" s="20"/>
      <c r="D1" s="20"/>
      <c r="E1" s="20"/>
      <c r="F1" s="20"/>
    </row>
    <row r="2" customFormat="false" ht="18" hidden="false" customHeight="true" outlineLevel="0" collapsed="false">
      <c r="B2" s="21" t="s">
        <v>46</v>
      </c>
      <c r="C2" s="21"/>
      <c r="D2" s="21"/>
      <c r="E2" s="21"/>
      <c r="F2" s="21"/>
    </row>
    <row r="3" customFormat="false" ht="15" hidden="false" customHeight="true" outlineLevel="0" collapsed="false">
      <c r="B3" s="22" t="s">
        <v>47</v>
      </c>
      <c r="C3" s="22" t="s">
        <v>48</v>
      </c>
      <c r="D3" s="22" t="s">
        <v>49</v>
      </c>
      <c r="E3" s="22" t="s">
        <v>50</v>
      </c>
      <c r="F3" s="22" t="s">
        <v>51</v>
      </c>
    </row>
    <row r="4" customFormat="false" ht="15.75" hidden="false" customHeight="true" outlineLevel="0" collapsed="false">
      <c r="B4" s="23" t="s">
        <v>52</v>
      </c>
      <c r="C4" s="24" t="s">
        <v>53</v>
      </c>
      <c r="D4" s="23" t="s">
        <v>54</v>
      </c>
      <c r="E4" s="23" t="s">
        <v>55</v>
      </c>
      <c r="F4" s="23" t="s">
        <v>56</v>
      </c>
    </row>
    <row r="5" customFormat="false" ht="15.75" hidden="false" customHeight="true" outlineLevel="0" collapsed="false">
      <c r="B5" s="23" t="s">
        <v>57</v>
      </c>
      <c r="C5" s="24" t="s">
        <v>58</v>
      </c>
      <c r="D5" s="23" t="s">
        <v>54</v>
      </c>
      <c r="E5" s="23" t="s">
        <v>55</v>
      </c>
      <c r="F5" s="23" t="s">
        <v>56</v>
      </c>
    </row>
    <row r="6" customFormat="false" ht="15.75" hidden="false" customHeight="true" outlineLevel="0" collapsed="false">
      <c r="B6" s="23" t="s">
        <v>59</v>
      </c>
      <c r="C6" s="24" t="s">
        <v>60</v>
      </c>
      <c r="D6" s="23" t="s">
        <v>54</v>
      </c>
      <c r="E6" s="23" t="s">
        <v>55</v>
      </c>
      <c r="F6" s="23" t="s">
        <v>56</v>
      </c>
    </row>
    <row r="7" customFormat="false" ht="15.75" hidden="false" customHeight="true" outlineLevel="0" collapsed="false">
      <c r="B7" s="23" t="s">
        <v>61</v>
      </c>
      <c r="C7" s="24" t="s">
        <v>62</v>
      </c>
      <c r="D7" s="23" t="s">
        <v>54</v>
      </c>
      <c r="E7" s="23" t="s">
        <v>55</v>
      </c>
      <c r="F7" s="23" t="s">
        <v>56</v>
      </c>
    </row>
    <row r="8" customFormat="false" ht="15.75" hidden="false" customHeight="true" outlineLevel="0" collapsed="false">
      <c r="B8" s="25" t="s">
        <v>63</v>
      </c>
      <c r="C8" s="26" t="s">
        <v>64</v>
      </c>
      <c r="D8" s="25" t="s">
        <v>65</v>
      </c>
      <c r="E8" s="25" t="s">
        <v>55</v>
      </c>
      <c r="F8" s="25" t="s">
        <v>56</v>
      </c>
    </row>
    <row r="9" customFormat="false" ht="15.75" hidden="false" customHeight="true" outlineLevel="0" collapsed="false">
      <c r="B9" s="25" t="s">
        <v>66</v>
      </c>
      <c r="C9" s="26" t="s">
        <v>67</v>
      </c>
      <c r="D9" s="25" t="s">
        <v>65</v>
      </c>
      <c r="E9" s="25" t="s">
        <v>55</v>
      </c>
      <c r="F9" s="25" t="s">
        <v>56</v>
      </c>
    </row>
    <row r="10" customFormat="false" ht="15.75" hidden="false" customHeight="true" outlineLevel="0" collapsed="false">
      <c r="B10" s="25" t="s">
        <v>68</v>
      </c>
      <c r="C10" s="26" t="s">
        <v>69</v>
      </c>
      <c r="D10" s="25" t="s">
        <v>65</v>
      </c>
      <c r="E10" s="25" t="s">
        <v>70</v>
      </c>
      <c r="F10" s="25" t="s">
        <v>71</v>
      </c>
    </row>
    <row r="11" customFormat="false" ht="15.75" hidden="false" customHeight="true" outlineLevel="0" collapsed="false">
      <c r="B11" s="27" t="s">
        <v>72</v>
      </c>
      <c r="C11" s="28" t="s">
        <v>73</v>
      </c>
      <c r="D11" s="27" t="s">
        <v>74</v>
      </c>
      <c r="E11" s="27" t="s">
        <v>70</v>
      </c>
      <c r="F11" s="27" t="s">
        <v>75</v>
      </c>
    </row>
    <row r="12" customFormat="false" ht="15.75" hidden="false" customHeight="true" outlineLevel="0" collapsed="false">
      <c r="B12" s="27" t="s">
        <v>76</v>
      </c>
      <c r="C12" s="28" t="s">
        <v>77</v>
      </c>
      <c r="D12" s="27" t="s">
        <v>74</v>
      </c>
      <c r="E12" s="27" t="s">
        <v>70</v>
      </c>
      <c r="F12" s="27" t="s">
        <v>75</v>
      </c>
    </row>
    <row r="13" customFormat="false" ht="15.75" hidden="false" customHeight="true" outlineLevel="0" collapsed="false">
      <c r="B13" s="27" t="s">
        <v>78</v>
      </c>
      <c r="C13" s="28" t="s">
        <v>79</v>
      </c>
      <c r="D13" s="27" t="s">
        <v>74</v>
      </c>
      <c r="E13" s="27" t="s">
        <v>70</v>
      </c>
      <c r="F13" s="27" t="s">
        <v>75</v>
      </c>
    </row>
    <row r="14" customFormat="false" ht="15.75" hidden="false" customHeight="true" outlineLevel="0" collapsed="false">
      <c r="B14" s="27" t="s">
        <v>80</v>
      </c>
      <c r="C14" s="28" t="s">
        <v>81</v>
      </c>
      <c r="D14" s="27" t="s">
        <v>74</v>
      </c>
      <c r="E14" s="27" t="s">
        <v>70</v>
      </c>
      <c r="F14" s="27" t="s">
        <v>75</v>
      </c>
    </row>
    <row r="15" customFormat="false" ht="15.75" hidden="false" customHeight="true" outlineLevel="0" collapsed="false">
      <c r="B15" s="27" t="s">
        <v>82</v>
      </c>
      <c r="C15" s="28" t="s">
        <v>83</v>
      </c>
      <c r="D15" s="27" t="s">
        <v>74</v>
      </c>
      <c r="E15" s="27" t="s">
        <v>70</v>
      </c>
      <c r="F15" s="27" t="s">
        <v>75</v>
      </c>
    </row>
    <row r="16" customFormat="false" ht="15.75" hidden="false" customHeight="true" outlineLevel="0" collapsed="false">
      <c r="B16" s="27" t="s">
        <v>84</v>
      </c>
      <c r="C16" s="28" t="s">
        <v>85</v>
      </c>
      <c r="D16" s="27" t="s">
        <v>74</v>
      </c>
      <c r="E16" s="27" t="s">
        <v>70</v>
      </c>
      <c r="F16" s="27" t="s">
        <v>75</v>
      </c>
    </row>
    <row r="17" customFormat="false" ht="15.75" hidden="false" customHeight="true" outlineLevel="0" collapsed="false">
      <c r="B17" s="29" t="s">
        <v>86</v>
      </c>
      <c r="C17" s="30" t="s">
        <v>87</v>
      </c>
      <c r="D17" s="29" t="s">
        <v>88</v>
      </c>
      <c r="E17" s="29" t="s">
        <v>70</v>
      </c>
      <c r="F17" s="29" t="s">
        <v>89</v>
      </c>
    </row>
    <row r="18" customFormat="false" ht="15.75" hidden="false" customHeight="true" outlineLevel="0" collapsed="false">
      <c r="B18" s="29" t="s">
        <v>90</v>
      </c>
      <c r="C18" s="30" t="s">
        <v>91</v>
      </c>
      <c r="D18" s="29" t="s">
        <v>88</v>
      </c>
      <c r="E18" s="29" t="s">
        <v>70</v>
      </c>
      <c r="F18" s="29" t="s">
        <v>89</v>
      </c>
    </row>
    <row r="19" customFormat="false" ht="15.75" hidden="false" customHeight="true" outlineLevel="0" collapsed="false">
      <c r="B19" s="31" t="s">
        <v>92</v>
      </c>
      <c r="C19" s="32" t="s">
        <v>93</v>
      </c>
      <c r="D19" s="31" t="s">
        <v>94</v>
      </c>
      <c r="E19" s="31" t="s">
        <v>70</v>
      </c>
      <c r="F19" s="31" t="s">
        <v>95</v>
      </c>
    </row>
    <row r="20" customFormat="false" ht="15.75" hidden="false" customHeight="true" outlineLevel="0" collapsed="false">
      <c r="B20" s="33" t="s">
        <v>96</v>
      </c>
      <c r="C20" s="34" t="s">
        <v>97</v>
      </c>
      <c r="D20" s="33" t="s">
        <v>98</v>
      </c>
      <c r="E20" s="33" t="s">
        <v>55</v>
      </c>
      <c r="F20" s="33" t="s">
        <v>99</v>
      </c>
    </row>
    <row r="21" customFormat="false" ht="15.75" hidden="false" customHeight="true" outlineLevel="0" collapsed="false">
      <c r="B21" s="33" t="s">
        <v>100</v>
      </c>
      <c r="C21" s="34" t="s">
        <v>101</v>
      </c>
      <c r="D21" s="33" t="s">
        <v>98</v>
      </c>
      <c r="E21" s="33" t="s">
        <v>55</v>
      </c>
      <c r="F21" s="33" t="s">
        <v>99</v>
      </c>
    </row>
    <row r="22" customFormat="false" ht="15.75" hidden="false" customHeight="true" outlineLevel="0" collapsed="false">
      <c r="B22" s="33" t="s">
        <v>102</v>
      </c>
      <c r="C22" s="34" t="s">
        <v>103</v>
      </c>
      <c r="D22" s="33" t="s">
        <v>98</v>
      </c>
      <c r="E22" s="33" t="s">
        <v>55</v>
      </c>
      <c r="F22" s="33" t="s">
        <v>99</v>
      </c>
    </row>
    <row r="23" customFormat="false" ht="15.75" hidden="false" customHeight="true" outlineLevel="0" collapsed="false">
      <c r="B23" s="33" t="s">
        <v>104</v>
      </c>
      <c r="C23" s="34" t="s">
        <v>105</v>
      </c>
      <c r="D23" s="33" t="s">
        <v>98</v>
      </c>
      <c r="E23" s="33" t="s">
        <v>55</v>
      </c>
      <c r="F23" s="33" t="s">
        <v>99</v>
      </c>
    </row>
    <row r="24" customFormat="false" ht="15.75" hidden="false" customHeight="true" outlineLevel="0" collapsed="false">
      <c r="B24" s="33" t="s">
        <v>106</v>
      </c>
      <c r="C24" s="34" t="s">
        <v>107</v>
      </c>
      <c r="D24" s="33" t="s">
        <v>98</v>
      </c>
      <c r="E24" s="33" t="s">
        <v>55</v>
      </c>
      <c r="F24" s="33" t="s">
        <v>99</v>
      </c>
    </row>
    <row r="25" customFormat="false" ht="15.75" hidden="false" customHeight="true" outlineLevel="0" collapsed="false">
      <c r="B25" s="33" t="s">
        <v>108</v>
      </c>
      <c r="C25" s="34" t="s">
        <v>109</v>
      </c>
      <c r="D25" s="33" t="s">
        <v>98</v>
      </c>
      <c r="E25" s="33" t="s">
        <v>55</v>
      </c>
      <c r="F25" s="33" t="s">
        <v>99</v>
      </c>
    </row>
    <row r="26" customFormat="false" ht="15.75" hidden="false" customHeight="true" outlineLevel="0" collapsed="false">
      <c r="B26" s="33" t="s">
        <v>110</v>
      </c>
      <c r="C26" s="34" t="s">
        <v>111</v>
      </c>
      <c r="D26" s="33" t="s">
        <v>98</v>
      </c>
      <c r="E26" s="33" t="s">
        <v>55</v>
      </c>
      <c r="F26" s="33" t="s">
        <v>99</v>
      </c>
    </row>
    <row r="27" customFormat="false" ht="15.75" hidden="false" customHeight="true" outlineLevel="0" collapsed="false">
      <c r="B27" s="33" t="s">
        <v>112</v>
      </c>
      <c r="C27" s="34" t="s">
        <v>113</v>
      </c>
      <c r="D27" s="33" t="s">
        <v>98</v>
      </c>
      <c r="E27" s="33" t="s">
        <v>55</v>
      </c>
      <c r="F27" s="33" t="s">
        <v>99</v>
      </c>
    </row>
    <row r="28" customFormat="false" ht="15.75" hidden="false" customHeight="true" outlineLevel="0" collapsed="false">
      <c r="B28" s="33" t="s">
        <v>114</v>
      </c>
      <c r="C28" s="34" t="s">
        <v>115</v>
      </c>
      <c r="D28" s="33" t="s">
        <v>98</v>
      </c>
      <c r="E28" s="33" t="s">
        <v>55</v>
      </c>
      <c r="F28" s="33" t="s">
        <v>116</v>
      </c>
    </row>
    <row r="29" customFormat="false" ht="15.75" hidden="false" customHeight="true" outlineLevel="0" collapsed="false">
      <c r="B29" s="33" t="s">
        <v>117</v>
      </c>
      <c r="C29" s="34" t="s">
        <v>118</v>
      </c>
      <c r="D29" s="33" t="s">
        <v>98</v>
      </c>
      <c r="E29" s="33" t="s">
        <v>55</v>
      </c>
      <c r="F29" s="33" t="s">
        <v>99</v>
      </c>
    </row>
  </sheetData>
  <mergeCells count="2">
    <mergeCell ref="B1:F1"/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42"/>
    <col collapsed="false" customWidth="true" hidden="false" outlineLevel="0" max="7" min="6" style="1" width="28"/>
    <col collapsed="false" customWidth="true" hidden="false" outlineLevel="0" max="8" min="8" style="1" width="15"/>
    <col collapsed="false" customWidth="true" hidden="false" outlineLevel="0" max="9" min="9" style="1" width="12"/>
  </cols>
  <sheetData>
    <row r="1" customFormat="false" ht="27.75" hidden="false" customHeight="true" outlineLevel="0" collapsed="false">
      <c r="B1" s="20" t="s">
        <v>119</v>
      </c>
      <c r="C1" s="20"/>
      <c r="D1" s="20"/>
      <c r="E1" s="20"/>
      <c r="F1" s="20"/>
      <c r="G1" s="20"/>
      <c r="H1" s="20"/>
      <c r="I1" s="20"/>
    </row>
    <row r="2" customFormat="false" ht="21.75" hidden="false" customHeight="true" outlineLevel="0" collapsed="false">
      <c r="B2" s="35" t="s">
        <v>120</v>
      </c>
      <c r="C2" s="35"/>
      <c r="D2" s="35"/>
      <c r="E2" s="35"/>
      <c r="F2" s="35"/>
      <c r="G2" s="35"/>
      <c r="H2" s="35"/>
      <c r="I2" s="35"/>
    </row>
    <row r="3" customFormat="false" ht="21.75" hidden="false" customHeight="true" outlineLevel="0" collapsed="false">
      <c r="B3" s="7" t="s">
        <v>121</v>
      </c>
      <c r="C3" s="7" t="s">
        <v>122</v>
      </c>
      <c r="D3" s="7" t="s">
        <v>123</v>
      </c>
      <c r="E3" s="7" t="s">
        <v>124</v>
      </c>
      <c r="F3" s="7" t="s">
        <v>125</v>
      </c>
      <c r="G3" s="7" t="s">
        <v>126</v>
      </c>
      <c r="H3" s="7" t="s">
        <v>127</v>
      </c>
      <c r="I3" s="7" t="s">
        <v>128</v>
      </c>
      <c r="J3" s="7" t="s">
        <v>129</v>
      </c>
    </row>
    <row r="4" customFormat="false" ht="19.5" hidden="false" customHeight="true" outlineLevel="0" collapsed="false">
      <c r="B4" s="36" t="s">
        <v>130</v>
      </c>
      <c r="C4" s="36"/>
      <c r="D4" s="36"/>
      <c r="E4" s="36"/>
      <c r="F4" s="36"/>
      <c r="G4" s="36"/>
      <c r="H4" s="36"/>
      <c r="I4" s="36"/>
      <c r="J4" s="36"/>
    </row>
    <row r="5" customFormat="false" ht="15.75" hidden="false" customHeight="true" outlineLevel="0" collapsed="false">
      <c r="B5" s="37" t="s">
        <v>131</v>
      </c>
      <c r="C5" s="38" t="s">
        <v>132</v>
      </c>
      <c r="D5" s="39" t="s">
        <v>133</v>
      </c>
      <c r="E5" s="38" t="s">
        <v>134</v>
      </c>
      <c r="F5" s="40" t="s">
        <v>135</v>
      </c>
      <c r="G5" s="41" t="s">
        <v>58</v>
      </c>
      <c r="H5" s="41" t="s">
        <v>87</v>
      </c>
      <c r="I5" s="42" t="n">
        <v>50000</v>
      </c>
      <c r="J5" s="43" t="s">
        <v>136</v>
      </c>
    </row>
    <row r="6" customFormat="false" ht="15.75" hidden="false" customHeight="true" outlineLevel="0" collapsed="false">
      <c r="B6" s="37" t="s">
        <v>131</v>
      </c>
      <c r="C6" s="44" t="s">
        <v>137</v>
      </c>
      <c r="D6" s="39" t="s">
        <v>138</v>
      </c>
      <c r="E6" s="44" t="s">
        <v>139</v>
      </c>
      <c r="F6" s="45" t="s">
        <v>140</v>
      </c>
      <c r="G6" s="41" t="s">
        <v>64</v>
      </c>
      <c r="H6" s="41" t="s">
        <v>58</v>
      </c>
      <c r="I6" s="42" t="n">
        <v>8000</v>
      </c>
      <c r="J6" s="46" t="s">
        <v>141</v>
      </c>
    </row>
    <row r="7" customFormat="false" ht="15.75" hidden="false" customHeight="true" outlineLevel="0" collapsed="false">
      <c r="B7" s="37" t="s">
        <v>131</v>
      </c>
      <c r="C7" s="38" t="s">
        <v>142</v>
      </c>
      <c r="D7" s="39" t="s">
        <v>138</v>
      </c>
      <c r="E7" s="38" t="s">
        <v>143</v>
      </c>
      <c r="F7" s="40" t="s">
        <v>144</v>
      </c>
      <c r="G7" s="41" t="s">
        <v>107</v>
      </c>
      <c r="H7" s="41" t="s">
        <v>58</v>
      </c>
      <c r="I7" s="42" t="n">
        <v>1200</v>
      </c>
      <c r="J7" s="43" t="s">
        <v>145</v>
      </c>
    </row>
    <row r="8" customFormat="false" ht="15.75" hidden="false" customHeight="true" outlineLevel="0" collapsed="false">
      <c r="B8" s="37" t="s">
        <v>131</v>
      </c>
      <c r="C8" s="44" t="s">
        <v>146</v>
      </c>
      <c r="D8" s="39" t="s">
        <v>147</v>
      </c>
      <c r="E8" s="44" t="s">
        <v>143</v>
      </c>
      <c r="F8" s="45" t="s">
        <v>148</v>
      </c>
      <c r="G8" s="41" t="s">
        <v>118</v>
      </c>
      <c r="H8" s="41" t="s">
        <v>58</v>
      </c>
      <c r="I8" s="42" t="n">
        <v>350</v>
      </c>
      <c r="J8" s="46" t="s">
        <v>149</v>
      </c>
    </row>
    <row r="9" customFormat="false" ht="15.75" hidden="false" customHeight="true" outlineLevel="0" collapsed="false">
      <c r="B9" s="37" t="s">
        <v>131</v>
      </c>
      <c r="C9" s="38" t="s">
        <v>150</v>
      </c>
      <c r="D9" s="39" t="s">
        <v>151</v>
      </c>
      <c r="E9" s="38" t="s">
        <v>152</v>
      </c>
      <c r="F9" s="40" t="s">
        <v>153</v>
      </c>
      <c r="G9" s="41" t="s">
        <v>58</v>
      </c>
      <c r="H9" s="41" t="s">
        <v>93</v>
      </c>
      <c r="I9" s="42" t="n">
        <v>5000</v>
      </c>
      <c r="J9" s="43" t="s">
        <v>154</v>
      </c>
    </row>
    <row r="10" customFormat="false" ht="15.75" hidden="false" customHeight="true" outlineLevel="0" collapsed="false">
      <c r="B10" s="37" t="s">
        <v>131</v>
      </c>
      <c r="C10" s="44" t="s">
        <v>155</v>
      </c>
      <c r="D10" s="39" t="s">
        <v>156</v>
      </c>
      <c r="E10" s="44" t="s">
        <v>157</v>
      </c>
      <c r="F10" s="45" t="s">
        <v>158</v>
      </c>
      <c r="G10" s="41" t="s">
        <v>60</v>
      </c>
      <c r="H10" s="41" t="s">
        <v>93</v>
      </c>
      <c r="I10" s="42" t="n">
        <v>12000</v>
      </c>
      <c r="J10" s="46" t="s">
        <v>159</v>
      </c>
    </row>
    <row r="11" customFormat="false" ht="15.75" hidden="false" customHeight="true" outlineLevel="0" collapsed="false">
      <c r="B11" s="37" t="s">
        <v>131</v>
      </c>
      <c r="C11" s="38" t="s">
        <v>160</v>
      </c>
      <c r="D11" s="39" t="s">
        <v>161</v>
      </c>
      <c r="E11" s="38" t="s">
        <v>162</v>
      </c>
      <c r="F11" s="40" t="s">
        <v>163</v>
      </c>
      <c r="G11" s="41" t="s">
        <v>97</v>
      </c>
      <c r="H11" s="41" t="s">
        <v>58</v>
      </c>
      <c r="I11" s="42" t="n">
        <v>2500</v>
      </c>
      <c r="J11" s="43" t="s">
        <v>164</v>
      </c>
    </row>
    <row r="12" customFormat="false" ht="15.75" hidden="false" customHeight="true" outlineLevel="0" collapsed="false">
      <c r="B12" s="37" t="s">
        <v>131</v>
      </c>
      <c r="C12" s="44" t="s">
        <v>165</v>
      </c>
      <c r="D12" s="39" t="s">
        <v>161</v>
      </c>
      <c r="E12" s="44" t="s">
        <v>162</v>
      </c>
      <c r="F12" s="45" t="s">
        <v>166</v>
      </c>
      <c r="G12" s="41" t="s">
        <v>101</v>
      </c>
      <c r="H12" s="41" t="s">
        <v>77</v>
      </c>
      <c r="I12" s="42" t="n">
        <v>200</v>
      </c>
      <c r="J12" s="46" t="s">
        <v>167</v>
      </c>
    </row>
    <row r="13" customFormat="false" ht="15.75" hidden="false" customHeight="true" outlineLevel="0" collapsed="false">
      <c r="B13" s="37" t="s">
        <v>131</v>
      </c>
      <c r="C13" s="38" t="s">
        <v>168</v>
      </c>
      <c r="D13" s="39" t="s">
        <v>161</v>
      </c>
      <c r="E13" s="38" t="s">
        <v>162</v>
      </c>
      <c r="F13" s="40" t="s">
        <v>169</v>
      </c>
      <c r="G13" s="41" t="s">
        <v>103</v>
      </c>
      <c r="H13" s="41" t="s">
        <v>79</v>
      </c>
      <c r="I13" s="42" t="n">
        <v>500</v>
      </c>
      <c r="J13" s="43" t="s">
        <v>170</v>
      </c>
    </row>
    <row r="14" customFormat="false" ht="15.75" hidden="false" customHeight="true" outlineLevel="0" collapsed="false">
      <c r="B14" s="37" t="s">
        <v>131</v>
      </c>
      <c r="C14" s="44" t="s">
        <v>171</v>
      </c>
      <c r="D14" s="39" t="s">
        <v>161</v>
      </c>
      <c r="E14" s="44" t="s">
        <v>162</v>
      </c>
      <c r="F14" s="45" t="s">
        <v>172</v>
      </c>
      <c r="G14" s="41" t="s">
        <v>105</v>
      </c>
      <c r="H14" s="41" t="s">
        <v>58</v>
      </c>
      <c r="I14" s="42" t="n">
        <v>2490</v>
      </c>
      <c r="J14" s="46" t="s">
        <v>173</v>
      </c>
    </row>
    <row r="15" customFormat="false" ht="15.75" hidden="false" customHeight="true" outlineLevel="0" collapsed="false">
      <c r="B15" s="37" t="s">
        <v>131</v>
      </c>
      <c r="C15" s="38" t="s">
        <v>174</v>
      </c>
      <c r="D15" s="39" t="s">
        <v>161</v>
      </c>
      <c r="E15" s="38" t="s">
        <v>162</v>
      </c>
      <c r="F15" s="40" t="s">
        <v>175</v>
      </c>
      <c r="G15" s="41" t="s">
        <v>103</v>
      </c>
      <c r="H15" s="41" t="s">
        <v>79</v>
      </c>
      <c r="I15" s="42" t="n">
        <v>510</v>
      </c>
      <c r="J15" s="43" t="s">
        <v>176</v>
      </c>
    </row>
    <row r="16" customFormat="false" ht="15.75" hidden="false" customHeight="true" outlineLevel="0" collapsed="false">
      <c r="B16" s="37" t="s">
        <v>131</v>
      </c>
      <c r="C16" s="44" t="s">
        <v>177</v>
      </c>
      <c r="D16" s="39" t="s">
        <v>161</v>
      </c>
      <c r="E16" s="44" t="s">
        <v>143</v>
      </c>
      <c r="F16" s="45" t="s">
        <v>178</v>
      </c>
      <c r="G16" s="41" t="s">
        <v>111</v>
      </c>
      <c r="H16" s="41" t="s">
        <v>58</v>
      </c>
      <c r="I16" s="42" t="n">
        <v>320</v>
      </c>
      <c r="J16" s="46" t="s">
        <v>179</v>
      </c>
    </row>
    <row r="17" customFormat="false" ht="15.75" hidden="false" customHeight="true" outlineLevel="0" collapsed="false">
      <c r="B17" s="37" t="s">
        <v>131</v>
      </c>
      <c r="C17" s="38" t="s">
        <v>180</v>
      </c>
      <c r="D17" s="39" t="s">
        <v>161</v>
      </c>
      <c r="E17" s="38" t="s">
        <v>143</v>
      </c>
      <c r="F17" s="40" t="s">
        <v>181</v>
      </c>
      <c r="G17" s="41" t="s">
        <v>109</v>
      </c>
      <c r="H17" s="41" t="s">
        <v>58</v>
      </c>
      <c r="I17" s="42" t="n">
        <v>280</v>
      </c>
      <c r="J17" s="43" t="s">
        <v>182</v>
      </c>
    </row>
    <row r="18" customFormat="false" ht="15.75" hidden="false" customHeight="true" outlineLevel="0" collapsed="false">
      <c r="B18" s="37" t="s">
        <v>131</v>
      </c>
      <c r="C18" s="44" t="s">
        <v>183</v>
      </c>
      <c r="D18" s="39" t="s">
        <v>184</v>
      </c>
      <c r="E18" s="44" t="s">
        <v>152</v>
      </c>
      <c r="F18" s="45" t="s">
        <v>185</v>
      </c>
      <c r="G18" s="41" t="s">
        <v>58</v>
      </c>
      <c r="H18" s="41" t="s">
        <v>60</v>
      </c>
      <c r="I18" s="42" t="n">
        <v>6000</v>
      </c>
      <c r="J18" s="46" t="s">
        <v>186</v>
      </c>
    </row>
    <row r="19" customFormat="false" ht="15.75" hidden="false" customHeight="true" outlineLevel="0" collapsed="false">
      <c r="B19" s="37" t="s">
        <v>131</v>
      </c>
      <c r="C19" s="38" t="s">
        <v>187</v>
      </c>
      <c r="D19" s="39" t="s">
        <v>161</v>
      </c>
      <c r="E19" s="38" t="s">
        <v>188</v>
      </c>
      <c r="F19" s="40" t="s">
        <v>189</v>
      </c>
      <c r="G19" s="41" t="s">
        <v>115</v>
      </c>
      <c r="H19" s="41" t="s">
        <v>73</v>
      </c>
      <c r="I19" s="42" t="n">
        <v>1020</v>
      </c>
      <c r="J19" s="43" t="s">
        <v>190</v>
      </c>
    </row>
    <row r="20" customFormat="false" ht="15.75" hidden="false" customHeight="true" outlineLevel="0" collapsed="false">
      <c r="B20" s="37" t="s">
        <v>131</v>
      </c>
      <c r="C20" s="44" t="s">
        <v>191</v>
      </c>
      <c r="D20" s="39" t="s">
        <v>161</v>
      </c>
      <c r="E20" s="44" t="s">
        <v>192</v>
      </c>
      <c r="F20" s="45" t="s">
        <v>193</v>
      </c>
      <c r="G20" s="41" t="s">
        <v>113</v>
      </c>
      <c r="H20" s="41" t="s">
        <v>69</v>
      </c>
      <c r="I20" s="42" t="n">
        <v>133</v>
      </c>
      <c r="J20" s="46" t="s">
        <v>194</v>
      </c>
    </row>
    <row r="21" customFormat="false" ht="19.5" hidden="false" customHeight="true" outlineLevel="0" collapsed="false">
      <c r="B21" s="36" t="s">
        <v>195</v>
      </c>
      <c r="C21" s="36"/>
      <c r="D21" s="36"/>
      <c r="E21" s="36"/>
      <c r="F21" s="36"/>
      <c r="G21" s="36"/>
      <c r="H21" s="36"/>
      <c r="I21" s="36"/>
      <c r="J21" s="36"/>
    </row>
    <row r="22" customFormat="false" ht="15.75" hidden="false" customHeight="true" outlineLevel="0" collapsed="false">
      <c r="B22" s="37" t="s">
        <v>196</v>
      </c>
      <c r="C22" s="44" t="s">
        <v>197</v>
      </c>
      <c r="D22" s="39" t="s">
        <v>198</v>
      </c>
      <c r="E22" s="44" t="s">
        <v>152</v>
      </c>
      <c r="F22" s="45" t="s">
        <v>199</v>
      </c>
      <c r="G22" s="41" t="s">
        <v>58</v>
      </c>
      <c r="H22" s="41" t="s">
        <v>93</v>
      </c>
      <c r="I22" s="42" t="n">
        <v>8500</v>
      </c>
      <c r="J22" s="46" t="s">
        <v>200</v>
      </c>
    </row>
    <row r="23" customFormat="false" ht="15.75" hidden="false" customHeight="true" outlineLevel="0" collapsed="false">
      <c r="B23" s="37" t="s">
        <v>196</v>
      </c>
      <c r="C23" s="38" t="s">
        <v>201</v>
      </c>
      <c r="D23" s="39" t="s">
        <v>202</v>
      </c>
      <c r="E23" s="38" t="s">
        <v>157</v>
      </c>
      <c r="F23" s="40" t="s">
        <v>203</v>
      </c>
      <c r="G23" s="41" t="s">
        <v>60</v>
      </c>
      <c r="H23" s="41" t="s">
        <v>93</v>
      </c>
      <c r="I23" s="42" t="n">
        <v>15000</v>
      </c>
      <c r="J23" s="43" t="s">
        <v>204</v>
      </c>
    </row>
    <row r="24" customFormat="false" ht="15.75" hidden="false" customHeight="true" outlineLevel="0" collapsed="false">
      <c r="B24" s="37" t="s">
        <v>196</v>
      </c>
      <c r="C24" s="44" t="s">
        <v>205</v>
      </c>
      <c r="D24" s="39" t="s">
        <v>202</v>
      </c>
      <c r="E24" s="44" t="s">
        <v>152</v>
      </c>
      <c r="F24" s="45" t="s">
        <v>206</v>
      </c>
      <c r="G24" s="41" t="s">
        <v>58</v>
      </c>
      <c r="H24" s="41" t="s">
        <v>60</v>
      </c>
      <c r="I24" s="42" t="n">
        <v>6000</v>
      </c>
      <c r="J24" s="46" t="s">
        <v>207</v>
      </c>
    </row>
    <row r="25" customFormat="false" ht="15.75" hidden="false" customHeight="true" outlineLevel="0" collapsed="false">
      <c r="B25" s="37" t="s">
        <v>196</v>
      </c>
      <c r="C25" s="38" t="s">
        <v>208</v>
      </c>
      <c r="D25" s="39" t="s">
        <v>209</v>
      </c>
      <c r="E25" s="38" t="s">
        <v>162</v>
      </c>
      <c r="F25" s="40" t="s">
        <v>210</v>
      </c>
      <c r="G25" s="41" t="s">
        <v>97</v>
      </c>
      <c r="H25" s="41" t="s">
        <v>58</v>
      </c>
      <c r="I25" s="42" t="n">
        <v>2500</v>
      </c>
      <c r="J25" s="43" t="s">
        <v>211</v>
      </c>
    </row>
    <row r="26" customFormat="false" ht="15.75" hidden="false" customHeight="true" outlineLevel="0" collapsed="false">
      <c r="B26" s="37" t="s">
        <v>196</v>
      </c>
      <c r="C26" s="44" t="s">
        <v>212</v>
      </c>
      <c r="D26" s="39" t="s">
        <v>209</v>
      </c>
      <c r="E26" s="44" t="s">
        <v>162</v>
      </c>
      <c r="F26" s="45" t="s">
        <v>213</v>
      </c>
      <c r="G26" s="41" t="s">
        <v>103</v>
      </c>
      <c r="H26" s="41" t="s">
        <v>79</v>
      </c>
      <c r="I26" s="42" t="n">
        <v>700</v>
      </c>
      <c r="J26" s="46" t="s">
        <v>214</v>
      </c>
    </row>
    <row r="27" customFormat="false" ht="15.75" hidden="false" customHeight="true" outlineLevel="0" collapsed="false">
      <c r="B27" s="37" t="s">
        <v>196</v>
      </c>
      <c r="C27" s="38" t="s">
        <v>215</v>
      </c>
      <c r="D27" s="39" t="s">
        <v>209</v>
      </c>
      <c r="E27" s="38" t="s">
        <v>162</v>
      </c>
      <c r="F27" s="40" t="s">
        <v>216</v>
      </c>
      <c r="G27" s="41" t="s">
        <v>105</v>
      </c>
      <c r="H27" s="41" t="s">
        <v>58</v>
      </c>
      <c r="I27" s="42" t="n">
        <v>2490</v>
      </c>
      <c r="J27" s="43" t="s">
        <v>217</v>
      </c>
    </row>
    <row r="28" customFormat="false" ht="15.75" hidden="false" customHeight="true" outlineLevel="0" collapsed="false">
      <c r="B28" s="37" t="s">
        <v>196</v>
      </c>
      <c r="C28" s="44" t="s">
        <v>218</v>
      </c>
      <c r="D28" s="39" t="s">
        <v>209</v>
      </c>
      <c r="E28" s="44" t="s">
        <v>143</v>
      </c>
      <c r="F28" s="45" t="s">
        <v>219</v>
      </c>
      <c r="G28" s="41" t="s">
        <v>107</v>
      </c>
      <c r="H28" s="41" t="s">
        <v>58</v>
      </c>
      <c r="I28" s="42" t="n">
        <v>1200</v>
      </c>
      <c r="J28" s="46" t="s">
        <v>220</v>
      </c>
    </row>
    <row r="29" customFormat="false" ht="15.75" hidden="false" customHeight="true" outlineLevel="0" collapsed="false">
      <c r="B29" s="37" t="s">
        <v>196</v>
      </c>
      <c r="C29" s="38" t="s">
        <v>221</v>
      </c>
      <c r="D29" s="39" t="s">
        <v>209</v>
      </c>
      <c r="E29" s="38" t="s">
        <v>143</v>
      </c>
      <c r="F29" s="40" t="s">
        <v>222</v>
      </c>
      <c r="G29" s="41" t="s">
        <v>109</v>
      </c>
      <c r="H29" s="41" t="s">
        <v>58</v>
      </c>
      <c r="I29" s="42" t="n">
        <v>600</v>
      </c>
      <c r="J29" s="43" t="s">
        <v>223</v>
      </c>
    </row>
    <row r="30" customFormat="false" ht="15.75" hidden="false" customHeight="true" outlineLevel="0" collapsed="false">
      <c r="B30" s="37" t="s">
        <v>196</v>
      </c>
      <c r="C30" s="44" t="s">
        <v>224</v>
      </c>
      <c r="D30" s="39" t="s">
        <v>202</v>
      </c>
      <c r="E30" s="44" t="s">
        <v>225</v>
      </c>
      <c r="F30" s="45" t="s">
        <v>226</v>
      </c>
      <c r="G30" s="41" t="s">
        <v>73</v>
      </c>
      <c r="H30" s="41" t="s">
        <v>58</v>
      </c>
      <c r="I30" s="42" t="n">
        <v>1020</v>
      </c>
      <c r="J30" s="46" t="s">
        <v>227</v>
      </c>
    </row>
    <row r="31" customFormat="false" ht="15.75" hidden="false" customHeight="true" outlineLevel="0" collapsed="false">
      <c r="B31" s="37" t="s">
        <v>196</v>
      </c>
      <c r="C31" s="38" t="s">
        <v>228</v>
      </c>
      <c r="D31" s="39" t="s">
        <v>202</v>
      </c>
      <c r="E31" s="38" t="s">
        <v>225</v>
      </c>
      <c r="F31" s="40" t="s">
        <v>229</v>
      </c>
      <c r="G31" s="41" t="s">
        <v>77</v>
      </c>
      <c r="H31" s="41" t="s">
        <v>58</v>
      </c>
      <c r="I31" s="42" t="n">
        <v>1210</v>
      </c>
      <c r="J31" s="43" t="s">
        <v>230</v>
      </c>
    </row>
    <row r="32" customFormat="false" ht="15.75" hidden="false" customHeight="true" outlineLevel="0" collapsed="false">
      <c r="B32" s="37" t="s">
        <v>196</v>
      </c>
      <c r="C32" s="44" t="s">
        <v>231</v>
      </c>
      <c r="D32" s="39" t="s">
        <v>232</v>
      </c>
      <c r="E32" s="44" t="s">
        <v>139</v>
      </c>
      <c r="F32" s="45" t="s">
        <v>233</v>
      </c>
      <c r="G32" s="41" t="s">
        <v>67</v>
      </c>
      <c r="H32" s="41" t="s">
        <v>58</v>
      </c>
      <c r="I32" s="42" t="n">
        <v>1500</v>
      </c>
      <c r="J32" s="46" t="s">
        <v>234</v>
      </c>
    </row>
    <row r="33" customFormat="false" ht="15.75" hidden="false" customHeight="true" outlineLevel="0" collapsed="false">
      <c r="B33" s="37" t="s">
        <v>196</v>
      </c>
      <c r="C33" s="38" t="s">
        <v>235</v>
      </c>
      <c r="D33" s="39" t="s">
        <v>209</v>
      </c>
      <c r="E33" s="38" t="s">
        <v>188</v>
      </c>
      <c r="F33" s="40" t="s">
        <v>236</v>
      </c>
      <c r="G33" s="41" t="s">
        <v>115</v>
      </c>
      <c r="H33" s="41" t="s">
        <v>73</v>
      </c>
      <c r="I33" s="42" t="n">
        <v>1410</v>
      </c>
      <c r="J33" s="43" t="s">
        <v>237</v>
      </c>
    </row>
    <row r="34" customFormat="false" ht="15.75" hidden="false" customHeight="true" outlineLevel="0" collapsed="false">
      <c r="B34" s="37" t="s">
        <v>196</v>
      </c>
      <c r="C34" s="44" t="s">
        <v>238</v>
      </c>
      <c r="D34" s="39" t="s">
        <v>209</v>
      </c>
      <c r="E34" s="44" t="s">
        <v>192</v>
      </c>
      <c r="F34" s="45" t="s">
        <v>239</v>
      </c>
      <c r="G34" s="41" t="s">
        <v>113</v>
      </c>
      <c r="H34" s="41" t="s">
        <v>69</v>
      </c>
      <c r="I34" s="42" t="n">
        <v>158</v>
      </c>
      <c r="J34" s="46" t="s">
        <v>240</v>
      </c>
    </row>
    <row r="35" customFormat="false" ht="19.5" hidden="false" customHeight="true" outlineLevel="0" collapsed="false">
      <c r="B35" s="36" t="s">
        <v>241</v>
      </c>
      <c r="C35" s="36"/>
      <c r="D35" s="36"/>
      <c r="E35" s="36"/>
      <c r="F35" s="36"/>
      <c r="G35" s="36"/>
      <c r="H35" s="36"/>
      <c r="I35" s="36"/>
      <c r="J35" s="36"/>
    </row>
    <row r="36" customFormat="false" ht="15.75" hidden="false" customHeight="true" outlineLevel="0" collapsed="false">
      <c r="B36" s="37" t="s">
        <v>242</v>
      </c>
      <c r="C36" s="44" t="s">
        <v>243</v>
      </c>
      <c r="D36" s="39" t="s">
        <v>244</v>
      </c>
      <c r="E36" s="44" t="s">
        <v>152</v>
      </c>
      <c r="F36" s="45" t="s">
        <v>245</v>
      </c>
      <c r="G36" s="41" t="s">
        <v>58</v>
      </c>
      <c r="H36" s="41" t="s">
        <v>93</v>
      </c>
      <c r="I36" s="42" t="n">
        <v>10000</v>
      </c>
      <c r="J36" s="46" t="s">
        <v>246</v>
      </c>
    </row>
    <row r="37" customFormat="false" ht="15.75" hidden="false" customHeight="true" outlineLevel="0" collapsed="false">
      <c r="B37" s="37" t="s">
        <v>242</v>
      </c>
      <c r="C37" s="38" t="s">
        <v>247</v>
      </c>
      <c r="D37" s="39" t="s">
        <v>244</v>
      </c>
      <c r="E37" s="38" t="s">
        <v>157</v>
      </c>
      <c r="F37" s="40" t="s">
        <v>248</v>
      </c>
      <c r="G37" s="41" t="s">
        <v>60</v>
      </c>
      <c r="H37" s="41" t="s">
        <v>93</v>
      </c>
      <c r="I37" s="42" t="n">
        <v>18200</v>
      </c>
      <c r="J37" s="43" t="s">
        <v>249</v>
      </c>
    </row>
    <row r="38" customFormat="false" ht="15.75" hidden="false" customHeight="true" outlineLevel="0" collapsed="false">
      <c r="B38" s="37" t="s">
        <v>242</v>
      </c>
      <c r="C38" s="44" t="s">
        <v>250</v>
      </c>
      <c r="D38" s="39" t="s">
        <v>251</v>
      </c>
      <c r="E38" s="44" t="s">
        <v>162</v>
      </c>
      <c r="F38" s="45" t="s">
        <v>252</v>
      </c>
      <c r="G38" s="41" t="s">
        <v>97</v>
      </c>
      <c r="H38" s="41" t="s">
        <v>58</v>
      </c>
      <c r="I38" s="42" t="n">
        <v>5500</v>
      </c>
      <c r="J38" s="46" t="s">
        <v>253</v>
      </c>
    </row>
    <row r="39" customFormat="false" ht="15.75" hidden="false" customHeight="true" outlineLevel="0" collapsed="false">
      <c r="B39" s="37" t="s">
        <v>242</v>
      </c>
      <c r="C39" s="38" t="s">
        <v>254</v>
      </c>
      <c r="D39" s="39" t="s">
        <v>251</v>
      </c>
      <c r="E39" s="38" t="s">
        <v>162</v>
      </c>
      <c r="F39" s="40" t="s">
        <v>255</v>
      </c>
      <c r="G39" s="41" t="s">
        <v>103</v>
      </c>
      <c r="H39" s="41" t="s">
        <v>79</v>
      </c>
      <c r="I39" s="42" t="n">
        <v>1540</v>
      </c>
      <c r="J39" s="43" t="s">
        <v>256</v>
      </c>
    </row>
    <row r="40" customFormat="false" ht="15.75" hidden="false" customHeight="true" outlineLevel="0" collapsed="false">
      <c r="B40" s="37" t="s">
        <v>242</v>
      </c>
      <c r="C40" s="44" t="s">
        <v>257</v>
      </c>
      <c r="D40" s="39" t="s">
        <v>251</v>
      </c>
      <c r="E40" s="44" t="s">
        <v>162</v>
      </c>
      <c r="F40" s="45" t="s">
        <v>258</v>
      </c>
      <c r="G40" s="41" t="s">
        <v>105</v>
      </c>
      <c r="H40" s="41" t="s">
        <v>58</v>
      </c>
      <c r="I40" s="42" t="n">
        <v>2490</v>
      </c>
      <c r="J40" s="46" t="s">
        <v>217</v>
      </c>
    </row>
    <row r="41" customFormat="false" ht="15.75" hidden="false" customHeight="true" outlineLevel="0" collapsed="false">
      <c r="B41" s="37" t="s">
        <v>242</v>
      </c>
      <c r="C41" s="38" t="s">
        <v>259</v>
      </c>
      <c r="D41" s="39" t="s">
        <v>251</v>
      </c>
      <c r="E41" s="38" t="s">
        <v>143</v>
      </c>
      <c r="F41" s="40" t="s">
        <v>260</v>
      </c>
      <c r="G41" s="41" t="s">
        <v>107</v>
      </c>
      <c r="H41" s="41" t="s">
        <v>58</v>
      </c>
      <c r="I41" s="42" t="n">
        <v>1200</v>
      </c>
      <c r="J41" s="43" t="s">
        <v>220</v>
      </c>
    </row>
    <row r="42" customFormat="false" ht="15.75" hidden="false" customHeight="true" outlineLevel="0" collapsed="false">
      <c r="B42" s="37" t="s">
        <v>242</v>
      </c>
      <c r="C42" s="44" t="s">
        <v>261</v>
      </c>
      <c r="D42" s="39" t="s">
        <v>251</v>
      </c>
      <c r="E42" s="44" t="s">
        <v>143</v>
      </c>
      <c r="F42" s="45" t="s">
        <v>262</v>
      </c>
      <c r="G42" s="41" t="s">
        <v>109</v>
      </c>
      <c r="H42" s="41" t="s">
        <v>58</v>
      </c>
      <c r="I42" s="42" t="n">
        <v>650</v>
      </c>
      <c r="J42" s="46" t="s">
        <v>223</v>
      </c>
    </row>
    <row r="43" customFormat="false" ht="15.75" hidden="false" customHeight="true" outlineLevel="0" collapsed="false">
      <c r="B43" s="37" t="s">
        <v>242</v>
      </c>
      <c r="C43" s="38" t="s">
        <v>263</v>
      </c>
      <c r="D43" s="39" t="s">
        <v>244</v>
      </c>
      <c r="E43" s="38" t="s">
        <v>225</v>
      </c>
      <c r="F43" s="40" t="s">
        <v>264</v>
      </c>
      <c r="G43" s="41" t="s">
        <v>73</v>
      </c>
      <c r="H43" s="41" t="s">
        <v>58</v>
      </c>
      <c r="I43" s="42" t="n">
        <v>1410</v>
      </c>
      <c r="J43" s="43" t="s">
        <v>265</v>
      </c>
    </row>
    <row r="44" customFormat="false" ht="15.75" hidden="false" customHeight="true" outlineLevel="0" collapsed="false">
      <c r="B44" s="37" t="s">
        <v>242</v>
      </c>
      <c r="C44" s="44" t="s">
        <v>266</v>
      </c>
      <c r="D44" s="39" t="s">
        <v>244</v>
      </c>
      <c r="E44" s="44" t="s">
        <v>139</v>
      </c>
      <c r="F44" s="45" t="s">
        <v>267</v>
      </c>
      <c r="G44" s="41" t="s">
        <v>64</v>
      </c>
      <c r="H44" s="41" t="s">
        <v>58</v>
      </c>
      <c r="I44" s="42" t="n">
        <v>800</v>
      </c>
      <c r="J44" s="46" t="s">
        <v>268</v>
      </c>
    </row>
    <row r="45" customFormat="false" ht="15.75" hidden="false" customHeight="true" outlineLevel="0" collapsed="false">
      <c r="B45" s="37" t="s">
        <v>242</v>
      </c>
      <c r="C45" s="38" t="s">
        <v>269</v>
      </c>
      <c r="D45" s="39" t="s">
        <v>251</v>
      </c>
      <c r="E45" s="38" t="s">
        <v>188</v>
      </c>
      <c r="F45" s="40" t="s">
        <v>270</v>
      </c>
      <c r="G45" s="41" t="s">
        <v>115</v>
      </c>
      <c r="H45" s="41" t="s">
        <v>73</v>
      </c>
      <c r="I45" s="42" t="n">
        <v>1692</v>
      </c>
      <c r="J45" s="43" t="s">
        <v>271</v>
      </c>
    </row>
    <row r="46" customFormat="false" ht="15.75" hidden="false" customHeight="true" outlineLevel="0" collapsed="false">
      <c r="B46" s="37" t="s">
        <v>242</v>
      </c>
      <c r="C46" s="44" t="s">
        <v>272</v>
      </c>
      <c r="D46" s="39" t="s">
        <v>251</v>
      </c>
      <c r="E46" s="44" t="s">
        <v>192</v>
      </c>
      <c r="F46" s="45" t="s">
        <v>273</v>
      </c>
      <c r="G46" s="41" t="s">
        <v>113</v>
      </c>
      <c r="H46" s="41" t="s">
        <v>69</v>
      </c>
      <c r="I46" s="42" t="n">
        <v>171</v>
      </c>
      <c r="J46" s="46" t="s">
        <v>274</v>
      </c>
    </row>
    <row r="47" customFormat="false" ht="3" hidden="false" customHeight="true" outlineLevel="0" collapsed="false"/>
    <row r="48" customFormat="false" ht="15" hidden="false" customHeight="true" outlineLevel="0" collapsed="false">
      <c r="B48" s="47" t="s">
        <v>275</v>
      </c>
      <c r="C48" s="47"/>
      <c r="D48" s="47"/>
      <c r="E48" s="47"/>
      <c r="F48" s="47"/>
      <c r="G48" s="47"/>
      <c r="H48" s="47"/>
      <c r="I48" s="48" t="n">
        <f aca="false">SUM(I4:I46)</f>
        <v>176444</v>
      </c>
    </row>
    <row r="50" customFormat="false" ht="18" hidden="false" customHeight="true" outlineLevel="0" collapsed="false">
      <c r="B50" s="49" t="s">
        <v>276</v>
      </c>
      <c r="C50" s="49"/>
      <c r="D50" s="49"/>
      <c r="E50" s="49"/>
      <c r="F50" s="49"/>
      <c r="G50" s="49"/>
      <c r="H50" s="49"/>
      <c r="I50" s="49"/>
      <c r="J50" s="49"/>
    </row>
    <row r="51" customFormat="false" ht="15.75" hidden="false" customHeight="true" outlineLevel="0" collapsed="false">
      <c r="B51" s="50"/>
      <c r="C51" s="50"/>
      <c r="D51" s="50"/>
      <c r="E51" s="50"/>
      <c r="F51" s="50"/>
      <c r="G51" s="50"/>
      <c r="H51" s="50"/>
      <c r="I51" s="51"/>
      <c r="J51" s="50"/>
    </row>
    <row r="52" customFormat="false" ht="15.75" hidden="false" customHeight="true" outlineLevel="0" collapsed="false">
      <c r="B52" s="50"/>
      <c r="C52" s="50"/>
      <c r="D52" s="50"/>
      <c r="E52" s="50"/>
      <c r="F52" s="50"/>
      <c r="G52" s="50"/>
      <c r="H52" s="50"/>
      <c r="I52" s="51"/>
      <c r="J52" s="50"/>
    </row>
    <row r="53" customFormat="false" ht="15.75" hidden="false" customHeight="true" outlineLevel="0" collapsed="false">
      <c r="B53" s="50"/>
      <c r="C53" s="50"/>
      <c r="D53" s="50"/>
      <c r="E53" s="50"/>
      <c r="F53" s="50"/>
      <c r="G53" s="50"/>
      <c r="H53" s="50"/>
      <c r="I53" s="51"/>
      <c r="J53" s="50"/>
    </row>
    <row r="54" customFormat="false" ht="15.75" hidden="false" customHeight="true" outlineLevel="0" collapsed="false">
      <c r="B54" s="50"/>
      <c r="C54" s="50"/>
      <c r="D54" s="50"/>
      <c r="E54" s="50"/>
      <c r="F54" s="50"/>
      <c r="G54" s="50"/>
      <c r="H54" s="50"/>
      <c r="I54" s="51"/>
      <c r="J54" s="50"/>
    </row>
    <row r="55" customFormat="false" ht="15.75" hidden="false" customHeight="true" outlineLevel="0" collapsed="false">
      <c r="B55" s="50"/>
      <c r="C55" s="50"/>
      <c r="D55" s="50"/>
      <c r="E55" s="50"/>
      <c r="F55" s="50"/>
      <c r="G55" s="50"/>
      <c r="H55" s="50"/>
      <c r="I55" s="51"/>
      <c r="J55" s="50"/>
    </row>
    <row r="56" customFormat="false" ht="15.75" hidden="false" customHeight="true" outlineLevel="0" collapsed="false">
      <c r="B56" s="50"/>
      <c r="C56" s="50"/>
      <c r="D56" s="50"/>
      <c r="E56" s="50"/>
      <c r="F56" s="50"/>
      <c r="G56" s="50"/>
      <c r="H56" s="50"/>
      <c r="I56" s="51"/>
      <c r="J56" s="50"/>
    </row>
    <row r="57" customFormat="false" ht="15.75" hidden="false" customHeight="true" outlineLevel="0" collapsed="false">
      <c r="B57" s="50"/>
      <c r="C57" s="50"/>
      <c r="D57" s="50"/>
      <c r="E57" s="50"/>
      <c r="F57" s="50"/>
      <c r="G57" s="50"/>
      <c r="H57" s="50"/>
      <c r="I57" s="51"/>
      <c r="J57" s="50"/>
    </row>
    <row r="58" customFormat="false" ht="15.75" hidden="false" customHeight="true" outlineLevel="0" collapsed="false">
      <c r="B58" s="50"/>
      <c r="C58" s="50"/>
      <c r="D58" s="50"/>
      <c r="E58" s="50"/>
      <c r="F58" s="50"/>
      <c r="G58" s="50"/>
      <c r="H58" s="50"/>
      <c r="I58" s="51"/>
      <c r="J58" s="50"/>
    </row>
    <row r="59" customFormat="false" ht="15.75" hidden="false" customHeight="true" outlineLevel="0" collapsed="false">
      <c r="B59" s="50"/>
      <c r="C59" s="50"/>
      <c r="D59" s="50"/>
      <c r="E59" s="50"/>
      <c r="F59" s="50"/>
      <c r="G59" s="50"/>
      <c r="H59" s="50"/>
      <c r="I59" s="51"/>
      <c r="J59" s="50"/>
    </row>
    <row r="60" customFormat="false" ht="15.75" hidden="false" customHeight="true" outlineLevel="0" collapsed="false">
      <c r="B60" s="50"/>
      <c r="C60" s="50"/>
      <c r="D60" s="50"/>
      <c r="E60" s="50"/>
      <c r="F60" s="50"/>
      <c r="G60" s="50"/>
      <c r="H60" s="50"/>
      <c r="I60" s="51"/>
      <c r="J60" s="50"/>
    </row>
  </sheetData>
  <mergeCells count="7">
    <mergeCell ref="B1:I1"/>
    <mergeCell ref="B2:I2"/>
    <mergeCell ref="B4:J4"/>
    <mergeCell ref="B21:J21"/>
    <mergeCell ref="B35:J35"/>
    <mergeCell ref="B48:H48"/>
    <mergeCell ref="B50:J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5" min="3" style="1" width="16"/>
    <col collapsed="false" customWidth="true" hidden="false" outlineLevel="0" max="7" min="6" style="1" width="14"/>
  </cols>
  <sheetData>
    <row r="1" customFormat="false" ht="27.75" hidden="false" customHeight="true" outlineLevel="0" collapsed="false">
      <c r="B1" s="20" t="s">
        <v>277</v>
      </c>
      <c r="C1" s="20"/>
      <c r="D1" s="20"/>
      <c r="E1" s="20"/>
      <c r="F1" s="20"/>
      <c r="G1" s="20"/>
    </row>
    <row r="2" customFormat="false" ht="18" hidden="false" customHeight="true" outlineLevel="0" collapsed="false">
      <c r="B2" s="52" t="s">
        <v>278</v>
      </c>
      <c r="C2" s="52"/>
      <c r="D2" s="52"/>
      <c r="E2" s="52"/>
      <c r="F2" s="52"/>
      <c r="G2" s="52"/>
    </row>
    <row r="3" customFormat="false" ht="19.5" hidden="false" customHeight="true" outlineLevel="0" collapsed="false">
      <c r="B3" s="7" t="s">
        <v>125</v>
      </c>
      <c r="C3" s="7" t="s">
        <v>279</v>
      </c>
      <c r="D3" s="7" t="s">
        <v>280</v>
      </c>
      <c r="E3" s="7" t="s">
        <v>281</v>
      </c>
      <c r="F3" s="7" t="s">
        <v>282</v>
      </c>
      <c r="G3" s="7" t="s">
        <v>283</v>
      </c>
    </row>
    <row r="4" customFormat="false" ht="6" hidden="false" customHeight="true" outlineLevel="0" collapsed="false"/>
    <row r="5" customFormat="false" ht="21.75" hidden="false" customHeight="true" outlineLevel="0" collapsed="false">
      <c r="B5" s="53" t="s">
        <v>284</v>
      </c>
      <c r="C5" s="53"/>
      <c r="D5" s="53"/>
      <c r="E5" s="53"/>
      <c r="F5" s="53"/>
      <c r="G5" s="53"/>
    </row>
    <row r="6" customFormat="false" ht="18" hidden="false" customHeight="true" outlineLevel="0" collapsed="false">
      <c r="B6" s="54" t="s">
        <v>285</v>
      </c>
      <c r="C6" s="55"/>
      <c r="D6" s="55"/>
      <c r="E6" s="55"/>
      <c r="F6" s="56" t="n">
        <v>1</v>
      </c>
      <c r="G6" s="56" t="n">
        <v>1</v>
      </c>
    </row>
    <row r="7" customFormat="false" ht="18" hidden="false" customHeight="true" outlineLevel="0" collapsed="false">
      <c r="B7" s="54" t="s">
        <v>286</v>
      </c>
      <c r="C7" s="55"/>
      <c r="D7" s="55"/>
      <c r="E7" s="55"/>
      <c r="F7" s="56" t="str">
        <f aca="false">IFERROR(C7/C6,"–")</f>
        <v>–</v>
      </c>
      <c r="G7" s="56" t="str">
        <f aca="false">IFERROR(D7/D6,"–")</f>
        <v>–</v>
      </c>
    </row>
    <row r="8" customFormat="false" ht="18" hidden="false" customHeight="true" outlineLevel="0" collapsed="false">
      <c r="B8" s="57" t="s">
        <v>287</v>
      </c>
      <c r="C8" s="58" t="n">
        <f aca="false">C6+C7</f>
        <v>0</v>
      </c>
      <c r="D8" s="58" t="n">
        <f aca="false">D6+D7</f>
        <v>0</v>
      </c>
      <c r="E8" s="58" t="n">
        <f aca="false">E6+E7</f>
        <v>0</v>
      </c>
      <c r="F8" s="59" t="str">
        <f aca="false">IFERROR(C8/C6,"–")</f>
        <v>–</v>
      </c>
      <c r="G8" s="59" t="str">
        <f aca="false">IFERROR(D8/D6,"–")</f>
        <v>–</v>
      </c>
    </row>
    <row r="9" customFormat="false" ht="6" hidden="false" customHeight="true" outlineLevel="0" collapsed="false"/>
    <row r="10" customFormat="false" ht="21.75" hidden="false" customHeight="true" outlineLevel="0" collapsed="false">
      <c r="B10" s="53" t="s">
        <v>288</v>
      </c>
      <c r="C10" s="53"/>
      <c r="D10" s="53"/>
      <c r="E10" s="53"/>
      <c r="F10" s="53"/>
      <c r="G10" s="53"/>
    </row>
    <row r="11" customFormat="false" ht="18" hidden="false" customHeight="true" outlineLevel="0" collapsed="false">
      <c r="B11" s="54" t="s">
        <v>289</v>
      </c>
      <c r="C11" s="55"/>
      <c r="D11" s="55"/>
      <c r="E11" s="55"/>
      <c r="F11" s="56" t="str">
        <f aca="false">IFERROR(C11/C6,"–")</f>
        <v>–</v>
      </c>
      <c r="G11" s="56" t="str">
        <f aca="false">IFERROR(D11/D6,"–")</f>
        <v>–</v>
      </c>
    </row>
    <row r="12" customFormat="false" ht="18" hidden="false" customHeight="true" outlineLevel="0" collapsed="false">
      <c r="B12" s="54" t="s">
        <v>290</v>
      </c>
      <c r="C12" s="55"/>
      <c r="D12" s="55"/>
      <c r="E12" s="55"/>
      <c r="F12" s="56" t="str">
        <f aca="false">IFERROR(C12/C6,"–")</f>
        <v>–</v>
      </c>
      <c r="G12" s="56" t="str">
        <f aca="false">IFERROR(D12/D6,"–")</f>
        <v>–</v>
      </c>
    </row>
    <row r="13" customFormat="false" ht="18" hidden="false" customHeight="true" outlineLevel="0" collapsed="false">
      <c r="B13" s="54" t="s">
        <v>291</v>
      </c>
      <c r="C13" s="55"/>
      <c r="D13" s="55"/>
      <c r="E13" s="55"/>
      <c r="F13" s="56" t="str">
        <f aca="false">IFERROR(C13/C6,"–")</f>
        <v>–</v>
      </c>
      <c r="G13" s="56" t="str">
        <f aca="false">IFERROR(D13/D6,"–")</f>
        <v>–</v>
      </c>
    </row>
    <row r="14" customFormat="false" ht="18" hidden="false" customHeight="true" outlineLevel="0" collapsed="false">
      <c r="B14" s="54" t="s">
        <v>292</v>
      </c>
      <c r="C14" s="55"/>
      <c r="D14" s="55"/>
      <c r="E14" s="55"/>
      <c r="F14" s="56" t="str">
        <f aca="false">IFERROR(C14/C6,"–")</f>
        <v>–</v>
      </c>
      <c r="G14" s="56" t="str">
        <f aca="false">IFERROR(D14/D6,"–")</f>
        <v>–</v>
      </c>
    </row>
    <row r="15" customFormat="false" ht="18" hidden="false" customHeight="true" outlineLevel="0" collapsed="false">
      <c r="B15" s="54" t="s">
        <v>293</v>
      </c>
      <c r="C15" s="55"/>
      <c r="D15" s="55"/>
      <c r="E15" s="55"/>
      <c r="F15" s="56" t="str">
        <f aca="false">IFERROR(C15/C6,"–")</f>
        <v>–</v>
      </c>
      <c r="G15" s="56" t="str">
        <f aca="false">IFERROR(D15/D6,"–")</f>
        <v>–</v>
      </c>
    </row>
    <row r="16" customFormat="false" ht="18" hidden="false" customHeight="true" outlineLevel="0" collapsed="false">
      <c r="B16" s="54" t="s">
        <v>294</v>
      </c>
      <c r="C16" s="55"/>
      <c r="D16" s="55"/>
      <c r="E16" s="55"/>
      <c r="F16" s="56" t="str">
        <f aca="false">IFERROR(C16/C6,"–")</f>
        <v>–</v>
      </c>
      <c r="G16" s="56" t="str">
        <f aca="false">IFERROR(D16/D6,"–")</f>
        <v>–</v>
      </c>
    </row>
    <row r="17" customFormat="false" ht="18" hidden="false" customHeight="true" outlineLevel="0" collapsed="false">
      <c r="B17" s="54" t="s">
        <v>295</v>
      </c>
      <c r="C17" s="55"/>
      <c r="D17" s="55"/>
      <c r="E17" s="55"/>
      <c r="F17" s="56" t="str">
        <f aca="false">IFERROR(C17/C6,"–")</f>
        <v>–</v>
      </c>
      <c r="G17" s="56" t="str">
        <f aca="false">IFERROR(D17/D6,"–")</f>
        <v>–</v>
      </c>
    </row>
    <row r="18" customFormat="false" ht="18" hidden="false" customHeight="true" outlineLevel="0" collapsed="false">
      <c r="B18" s="54" t="s">
        <v>296</v>
      </c>
      <c r="C18" s="55"/>
      <c r="D18" s="55"/>
      <c r="E18" s="55"/>
      <c r="F18" s="56" t="str">
        <f aca="false">IFERROR(C18/C6,"–")</f>
        <v>–</v>
      </c>
      <c r="G18" s="56" t="str">
        <f aca="false">IFERROR(D18/D6,"–")</f>
        <v>–</v>
      </c>
    </row>
    <row r="19" customFormat="false" ht="18" hidden="false" customHeight="true" outlineLevel="0" collapsed="false">
      <c r="B19" s="60" t="s">
        <v>297</v>
      </c>
      <c r="C19" s="61" t="n">
        <f aca="false">SUM(C11:C18)</f>
        <v>0</v>
      </c>
      <c r="D19" s="61" t="n">
        <f aca="false">SUM(D11:D18)</f>
        <v>0</v>
      </c>
      <c r="E19" s="61" t="n">
        <f aca="false">SUM(E11:E18)</f>
        <v>0</v>
      </c>
      <c r="F19" s="62" t="n">
        <f aca="false">IFERROR(IF(C6&lt;&gt;0,C19/C6,0),"–")</f>
        <v>0</v>
      </c>
      <c r="G19" s="62" t="n">
        <f aca="false">IFERROR(IF(D6&lt;&gt;0,D19/D6,0),"–")</f>
        <v>0</v>
      </c>
    </row>
    <row r="20" customFormat="false" ht="6" hidden="false" customHeight="true" outlineLevel="0" collapsed="false"/>
    <row r="21" customFormat="false" ht="18" hidden="false" customHeight="true" outlineLevel="0" collapsed="false">
      <c r="B21" s="63" t="s">
        <v>298</v>
      </c>
      <c r="C21" s="64" t="n">
        <f aca="false">C8+C19</f>
        <v>0</v>
      </c>
      <c r="D21" s="64" t="n">
        <f aca="false">D8+D19</f>
        <v>0</v>
      </c>
      <c r="E21" s="64" t="n">
        <f aca="false">E8+E19</f>
        <v>0</v>
      </c>
      <c r="F21" s="65" t="n">
        <f aca="false">IFERROR(IF(C6&lt;&gt;0,C21/C6,0),"–")</f>
        <v>0</v>
      </c>
      <c r="G21" s="65" t="n">
        <f aca="false">IFERROR(IF(D6&lt;&gt;0,D21/D6,0),"–")</f>
        <v>0</v>
      </c>
    </row>
    <row r="22" customFormat="false" ht="18" hidden="false" customHeight="true" outlineLevel="0" collapsed="false">
      <c r="B22" s="54" t="s">
        <v>299</v>
      </c>
      <c r="C22" s="55"/>
      <c r="D22" s="55"/>
      <c r="E22" s="55"/>
      <c r="F22" s="56" t="str">
        <f aca="false">IFERROR(C22/C6,"–")</f>
        <v>–</v>
      </c>
      <c r="G22" s="56" t="str">
        <f aca="false">IFERROR(D22/D6,"–")</f>
        <v>–</v>
      </c>
    </row>
    <row r="23" customFormat="false" ht="18" hidden="false" customHeight="true" outlineLevel="0" collapsed="false">
      <c r="B23" s="63" t="s">
        <v>300</v>
      </c>
      <c r="C23" s="64" t="n">
        <f aca="false">C21+C22</f>
        <v>0</v>
      </c>
      <c r="D23" s="64" t="n">
        <f aca="false">D21+D22</f>
        <v>0</v>
      </c>
      <c r="E23" s="64" t="n">
        <f aca="false">E21+E22</f>
        <v>0</v>
      </c>
      <c r="F23" s="65" t="n">
        <f aca="false">IFERROR(IF(C6&lt;&gt;0,C23/C6,0),"–")</f>
        <v>0</v>
      </c>
      <c r="G23" s="65" t="n">
        <f aca="false">IFERROR(IF(D6&lt;&gt;0,D23/D6,0),"–")</f>
        <v>0</v>
      </c>
    </row>
    <row r="24" customFormat="false" ht="18" hidden="false" customHeight="true" outlineLevel="0" collapsed="false">
      <c r="B24" s="54" t="s">
        <v>301</v>
      </c>
      <c r="C24" s="55"/>
      <c r="D24" s="55"/>
      <c r="E24" s="55"/>
      <c r="F24" s="56" t="str">
        <f aca="false">IFERROR(C24/C6,"–")</f>
        <v>–</v>
      </c>
      <c r="G24" s="56" t="str">
        <f aca="false">IFERROR(D24/D6,"–")</f>
        <v>–</v>
      </c>
    </row>
    <row r="25" customFormat="false" ht="18" hidden="false" customHeight="true" outlineLevel="0" collapsed="false">
      <c r="B25" s="66" t="s">
        <v>302</v>
      </c>
      <c r="C25" s="67" t="n">
        <f aca="false">C23+C24</f>
        <v>0</v>
      </c>
      <c r="D25" s="67" t="n">
        <f aca="false">D23+D24</f>
        <v>0</v>
      </c>
      <c r="E25" s="67" t="n">
        <f aca="false">E23+E24</f>
        <v>0</v>
      </c>
      <c r="F25" s="68" t="n">
        <f aca="false">IFERROR(IF(C6&lt;&gt;0,C25/C6,0),"–")</f>
        <v>0</v>
      </c>
      <c r="G25" s="68" t="n">
        <f aca="false">IFERROR(IF(D6&lt;&gt;0,D25/D6,0),"–")</f>
        <v>0</v>
      </c>
    </row>
    <row r="27" customFormat="false" ht="24" hidden="false" customHeight="true" outlineLevel="0" collapsed="false">
      <c r="B27" s="69" t="s">
        <v>303</v>
      </c>
      <c r="C27" s="69"/>
      <c r="D27" s="69"/>
      <c r="E27" s="69"/>
      <c r="F27" s="69"/>
      <c r="G27" s="69"/>
    </row>
  </sheetData>
  <mergeCells count="5">
    <mergeCell ref="B1:G1"/>
    <mergeCell ref="B2:G2"/>
    <mergeCell ref="B5:G5"/>
    <mergeCell ref="B10:G10"/>
    <mergeCell ref="B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5" min="3" style="1" width="16"/>
    <col collapsed="false" customWidth="true" hidden="false" outlineLevel="0" max="6" min="6" style="1" width="3"/>
    <col collapsed="false" customWidth="true" hidden="false" outlineLevel="0" max="7" min="7" style="1" width="35"/>
    <col collapsed="false" customWidth="true" hidden="false" outlineLevel="0" max="10" min="8" style="1" width="16"/>
  </cols>
  <sheetData>
    <row r="1" customFormat="false" ht="27.75" hidden="false" customHeight="true" outlineLevel="0" collapsed="false">
      <c r="B1" s="20" t="s">
        <v>304</v>
      </c>
      <c r="C1" s="20"/>
      <c r="D1" s="20"/>
      <c r="E1" s="20"/>
      <c r="F1" s="20"/>
      <c r="G1" s="20"/>
      <c r="H1" s="20"/>
      <c r="I1" s="20"/>
      <c r="J1" s="20"/>
    </row>
    <row r="2" customFormat="false" ht="15" hidden="false" customHeight="true" outlineLevel="0" collapsed="false">
      <c r="B2" s="70" t="s">
        <v>305</v>
      </c>
      <c r="C2" s="70" t="s">
        <v>279</v>
      </c>
      <c r="D2" s="70" t="s">
        <v>306</v>
      </c>
      <c r="E2" s="70" t="s">
        <v>307</v>
      </c>
      <c r="F2" s="71"/>
      <c r="G2" s="72" t="s">
        <v>308</v>
      </c>
      <c r="H2" s="70" t="s">
        <v>279</v>
      </c>
      <c r="I2" s="70" t="s">
        <v>306</v>
      </c>
      <c r="J2" s="70" t="s">
        <v>307</v>
      </c>
    </row>
    <row r="3" customFormat="false" ht="21.75" hidden="false" customHeight="true" outlineLevel="0" collapsed="false">
      <c r="B3" s="73" t="s">
        <v>309</v>
      </c>
      <c r="C3" s="73"/>
      <c r="D3" s="73"/>
      <c r="E3" s="73"/>
      <c r="F3" s="71"/>
      <c r="G3" s="74" t="s">
        <v>310</v>
      </c>
      <c r="H3" s="74"/>
      <c r="I3" s="74"/>
      <c r="J3" s="74"/>
    </row>
    <row r="4" customFormat="false" ht="18" hidden="false" customHeight="true" outlineLevel="0" collapsed="false">
      <c r="B4" s="54" t="s">
        <v>53</v>
      </c>
      <c r="C4" s="55"/>
      <c r="D4" s="55"/>
      <c r="E4" s="55"/>
      <c r="F4" s="71"/>
      <c r="G4" s="75" t="s">
        <v>73</v>
      </c>
      <c r="H4" s="55"/>
      <c r="I4" s="55"/>
      <c r="J4" s="55"/>
    </row>
    <row r="5" customFormat="false" ht="18" hidden="false" customHeight="true" outlineLevel="0" collapsed="false">
      <c r="B5" s="54" t="s">
        <v>58</v>
      </c>
      <c r="C5" s="55"/>
      <c r="D5" s="55"/>
      <c r="E5" s="55"/>
      <c r="F5" s="71"/>
      <c r="G5" s="75" t="s">
        <v>77</v>
      </c>
      <c r="H5" s="55"/>
      <c r="I5" s="55"/>
      <c r="J5" s="55"/>
    </row>
    <row r="6" customFormat="false" ht="18" hidden="false" customHeight="true" outlineLevel="0" collapsed="false">
      <c r="B6" s="54" t="s">
        <v>311</v>
      </c>
      <c r="C6" s="55"/>
      <c r="D6" s="55"/>
      <c r="E6" s="55"/>
      <c r="F6" s="71"/>
      <c r="G6" s="75" t="s">
        <v>79</v>
      </c>
      <c r="H6" s="55"/>
      <c r="I6" s="55"/>
      <c r="J6" s="55"/>
    </row>
    <row r="7" customFormat="false" ht="18" hidden="false" customHeight="true" outlineLevel="0" collapsed="false">
      <c r="B7" s="54" t="s">
        <v>62</v>
      </c>
      <c r="C7" s="55"/>
      <c r="D7" s="55"/>
      <c r="E7" s="55"/>
      <c r="F7" s="71"/>
      <c r="G7" s="75" t="s">
        <v>312</v>
      </c>
      <c r="H7" s="55"/>
      <c r="I7" s="55"/>
      <c r="J7" s="55"/>
    </row>
    <row r="8" customFormat="false" ht="18" hidden="false" customHeight="true" outlineLevel="0" collapsed="false">
      <c r="B8" s="76" t="s">
        <v>313</v>
      </c>
      <c r="C8" s="58" t="n">
        <f aca="false">SUM(C4:C7)</f>
        <v>0</v>
      </c>
      <c r="D8" s="58" t="n">
        <f aca="false">SUM(D4:D7)</f>
        <v>0</v>
      </c>
      <c r="E8" s="58" t="n">
        <f aca="false">SUM(E4:E7)</f>
        <v>0</v>
      </c>
      <c r="F8" s="71"/>
      <c r="G8" s="75" t="s">
        <v>314</v>
      </c>
      <c r="H8" s="55"/>
      <c r="I8" s="55"/>
      <c r="J8" s="55"/>
    </row>
    <row r="9" customFormat="false" ht="18" hidden="false" customHeight="true" outlineLevel="0" collapsed="false">
      <c r="F9" s="71"/>
      <c r="G9" s="77" t="s">
        <v>315</v>
      </c>
      <c r="H9" s="58" t="n">
        <f aca="false">SUM(H4:H8)</f>
        <v>0</v>
      </c>
      <c r="I9" s="58" t="n">
        <f aca="false">SUM(I4:I8)</f>
        <v>0</v>
      </c>
      <c r="J9" s="58" t="n">
        <f aca="false">SUM(J4:J8)</f>
        <v>0</v>
      </c>
    </row>
    <row r="10" customFormat="false" ht="6" hidden="false" customHeight="true" outlineLevel="0" collapsed="false">
      <c r="B10" s="73" t="s">
        <v>316</v>
      </c>
      <c r="C10" s="73"/>
      <c r="D10" s="73"/>
      <c r="E10" s="73"/>
      <c r="F10" s="71"/>
    </row>
    <row r="11" customFormat="false" ht="21.75" hidden="false" customHeight="true" outlineLevel="0" collapsed="false">
      <c r="B11" s="54" t="s">
        <v>64</v>
      </c>
      <c r="C11" s="55"/>
      <c r="D11" s="55"/>
      <c r="E11" s="55"/>
      <c r="F11" s="71"/>
      <c r="G11" s="74" t="s">
        <v>317</v>
      </c>
      <c r="H11" s="74"/>
      <c r="I11" s="74"/>
      <c r="J11" s="74"/>
    </row>
    <row r="12" customFormat="false" ht="18" hidden="false" customHeight="true" outlineLevel="0" collapsed="false">
      <c r="B12" s="54" t="s">
        <v>318</v>
      </c>
      <c r="C12" s="55"/>
      <c r="D12" s="55"/>
      <c r="E12" s="55"/>
      <c r="F12" s="71"/>
      <c r="G12" s="75" t="s">
        <v>319</v>
      </c>
      <c r="H12" s="55"/>
      <c r="I12" s="55"/>
      <c r="J12" s="55"/>
    </row>
    <row r="13" customFormat="false" ht="18" hidden="false" customHeight="true" outlineLevel="0" collapsed="false">
      <c r="B13" s="54" t="s">
        <v>320</v>
      </c>
      <c r="C13" s="55"/>
      <c r="D13" s="55"/>
      <c r="E13" s="55"/>
      <c r="F13" s="71"/>
      <c r="G13" s="77" t="s">
        <v>321</v>
      </c>
      <c r="H13" s="58" t="n">
        <f aca="false">H12</f>
        <v>0</v>
      </c>
      <c r="I13" s="58" t="n">
        <f aca="false">I12</f>
        <v>0</v>
      </c>
      <c r="J13" s="58" t="n">
        <f aca="false">J12</f>
        <v>0</v>
      </c>
    </row>
    <row r="14" customFormat="false" ht="6" hidden="false" customHeight="true" outlineLevel="0" collapsed="false">
      <c r="B14" s="76" t="s">
        <v>322</v>
      </c>
      <c r="C14" s="58" t="n">
        <f aca="false">SUM(C11:C13)</f>
        <v>0</v>
      </c>
      <c r="D14" s="58" t="n">
        <f aca="false">SUM(D11:D13)</f>
        <v>0</v>
      </c>
      <c r="E14" s="58" t="n">
        <f aca="false">SUM(E11:E13)</f>
        <v>0</v>
      </c>
      <c r="F14" s="71"/>
    </row>
    <row r="15" customFormat="false" ht="21.75" hidden="false" customHeight="true" outlineLevel="0" collapsed="false">
      <c r="F15" s="71"/>
      <c r="G15" s="74" t="s">
        <v>323</v>
      </c>
      <c r="H15" s="74"/>
      <c r="I15" s="74"/>
      <c r="J15" s="74"/>
    </row>
    <row r="16" customFormat="false" ht="18" hidden="false" customHeight="true" outlineLevel="0" collapsed="false">
      <c r="B16" s="78" t="s">
        <v>324</v>
      </c>
      <c r="C16" s="79" t="n">
        <f aca="false">C8+C14</f>
        <v>0</v>
      </c>
      <c r="D16" s="79" t="n">
        <f aca="false">D8+D14</f>
        <v>0</v>
      </c>
      <c r="E16" s="79" t="n">
        <f aca="false">E8+E14</f>
        <v>0</v>
      </c>
      <c r="F16" s="71"/>
      <c r="G16" s="75" t="s">
        <v>87</v>
      </c>
      <c r="H16" s="55"/>
      <c r="I16" s="55"/>
      <c r="J16" s="55"/>
    </row>
    <row r="17" customFormat="false" ht="18" hidden="false" customHeight="true" outlineLevel="0" collapsed="false">
      <c r="F17" s="71"/>
      <c r="G17" s="75" t="s">
        <v>91</v>
      </c>
      <c r="H17" s="55"/>
      <c r="I17" s="55"/>
      <c r="J17" s="55"/>
    </row>
    <row r="18" customFormat="false" ht="18" hidden="false" customHeight="true" outlineLevel="0" collapsed="false">
      <c r="F18" s="71"/>
      <c r="G18" s="80" t="s">
        <v>325</v>
      </c>
      <c r="H18" s="79" t="n">
        <f aca="false">H16+H17</f>
        <v>0</v>
      </c>
      <c r="I18" s="79" t="n">
        <f aca="false">I16+I17</f>
        <v>0</v>
      </c>
      <c r="J18" s="79" t="n">
        <f aca="false">J16+J17</f>
        <v>0</v>
      </c>
    </row>
    <row r="19" customFormat="false" ht="6" hidden="false" customHeight="true" outlineLevel="0" collapsed="false">
      <c r="F19" s="71"/>
    </row>
    <row r="20" customFormat="false" ht="18" hidden="false" customHeight="true" outlineLevel="0" collapsed="false">
      <c r="F20" s="71"/>
      <c r="G20" s="81" t="s">
        <v>326</v>
      </c>
      <c r="H20" s="82" t="n">
        <f aca="false">H9+H13+H18</f>
        <v>0</v>
      </c>
      <c r="I20" s="82" t="n">
        <f aca="false">I9+I13+I18</f>
        <v>0</v>
      </c>
      <c r="J20" s="82" t="n">
        <f aca="false">J9+J13+J18</f>
        <v>0</v>
      </c>
    </row>
    <row r="21" customFormat="false" ht="15" hidden="false" customHeight="true" outlineLevel="0" collapsed="false">
      <c r="F21" s="71"/>
    </row>
    <row r="22" customFormat="false" ht="15" hidden="false" customHeight="true" outlineLevel="0" collapsed="false">
      <c r="F22" s="71"/>
    </row>
    <row r="23" customFormat="false" ht="21.75" hidden="false" customHeight="true" outlineLevel="0" collapsed="false">
      <c r="B23" s="83" t="s">
        <v>327</v>
      </c>
      <c r="C23" s="83"/>
      <c r="D23" s="83"/>
      <c r="E23" s="83"/>
      <c r="F23" s="83"/>
      <c r="G23" s="83"/>
      <c r="H23" s="83"/>
      <c r="I23" s="83"/>
      <c r="J23" s="83"/>
    </row>
    <row r="24" customFormat="false" ht="18" hidden="false" customHeight="true" outlineLevel="0" collapsed="false">
      <c r="B24" s="84" t="s">
        <v>328</v>
      </c>
      <c r="C24" s="85" t="n">
        <f aca="false">IFERROR(C16-H20,0)</f>
        <v>0</v>
      </c>
      <c r="F24" s="71"/>
    </row>
    <row r="25" customFormat="false" ht="18" hidden="false" customHeight="true" outlineLevel="0" collapsed="false">
      <c r="B25" s="84" t="s">
        <v>329</v>
      </c>
      <c r="D25" s="85" t="n">
        <f aca="false">IFERROR(D16-I20,0)</f>
        <v>0</v>
      </c>
      <c r="F25" s="71"/>
    </row>
    <row r="26" customFormat="false" ht="18" hidden="false" customHeight="true" outlineLevel="0" collapsed="false">
      <c r="B26" s="84" t="s">
        <v>330</v>
      </c>
      <c r="E26" s="85" t="n">
        <f aca="false">IFERROR(E16-J20,0)</f>
        <v>0</v>
      </c>
      <c r="F26" s="71"/>
    </row>
    <row r="27" customFormat="false" ht="15" hidden="false" customHeight="true" outlineLevel="0" collapsed="false">
      <c r="F27" s="71"/>
    </row>
    <row r="28" customFormat="false" ht="15" hidden="false" customHeight="true" outlineLevel="0" collapsed="false">
      <c r="F28" s="71"/>
    </row>
    <row r="29" customFormat="false" ht="15" hidden="false" customHeight="true" outlineLevel="0" collapsed="false">
      <c r="F29" s="71"/>
    </row>
  </sheetData>
  <mergeCells count="7">
    <mergeCell ref="B1:J1"/>
    <mergeCell ref="B3:E3"/>
    <mergeCell ref="G3:J3"/>
    <mergeCell ref="B10:E10"/>
    <mergeCell ref="G11:J11"/>
    <mergeCell ref="G15:J15"/>
    <mergeCell ref="B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22"/>
    <col collapsed="false" customWidth="true" hidden="false" outlineLevel="0" max="6" min="4" style="1" width="16"/>
    <col collapsed="false" customWidth="true" hidden="false" outlineLevel="0" max="7" min="7" style="1" width="20"/>
    <col collapsed="false" customWidth="true" hidden="false" outlineLevel="0" max="8" min="8" style="1" width="40"/>
  </cols>
  <sheetData>
    <row r="1" customFormat="false" ht="27.75" hidden="false" customHeight="true" outlineLevel="0" collapsed="false">
      <c r="B1" s="20" t="s">
        <v>331</v>
      </c>
      <c r="C1" s="20"/>
      <c r="D1" s="20"/>
      <c r="E1" s="20"/>
      <c r="F1" s="20"/>
      <c r="G1" s="20"/>
      <c r="H1" s="20"/>
    </row>
    <row r="2" customFormat="false" ht="19.5" hidden="false" customHeight="true" outlineLevel="0" collapsed="false">
      <c r="B2" s="86" t="s">
        <v>332</v>
      </c>
      <c r="C2" s="86"/>
      <c r="D2" s="86"/>
      <c r="E2" s="86"/>
      <c r="F2" s="86"/>
      <c r="G2" s="86"/>
      <c r="H2" s="86"/>
    </row>
    <row r="3" customFormat="false" ht="21.75" hidden="false" customHeight="true" outlineLevel="0" collapsed="false">
      <c r="B3" s="7" t="s">
        <v>333</v>
      </c>
      <c r="C3" s="7" t="s">
        <v>334</v>
      </c>
      <c r="D3" s="7" t="s">
        <v>279</v>
      </c>
      <c r="E3" s="7" t="s">
        <v>306</v>
      </c>
      <c r="F3" s="7" t="s">
        <v>307</v>
      </c>
      <c r="G3" s="7" t="s">
        <v>335</v>
      </c>
      <c r="H3" s="7" t="s">
        <v>336</v>
      </c>
    </row>
    <row r="4" customFormat="false" ht="21.75" hidden="false" customHeight="true" outlineLevel="0" collapsed="false">
      <c r="B4" s="53" t="s">
        <v>337</v>
      </c>
      <c r="C4" s="53"/>
      <c r="D4" s="53"/>
      <c r="E4" s="53"/>
      <c r="F4" s="53"/>
      <c r="G4" s="53"/>
      <c r="H4" s="53"/>
    </row>
    <row r="5" customFormat="false" ht="18" hidden="false" customHeight="true" outlineLevel="0" collapsed="false">
      <c r="B5" s="87" t="s">
        <v>338</v>
      </c>
      <c r="C5" s="88" t="s">
        <v>339</v>
      </c>
      <c r="D5" s="89" t="n">
        <f aca="false">IFERROR(BALANCO_PATRIMONIAL!C8/BALANCO_PATRIMONIAL!H9,0)</f>
        <v>0</v>
      </c>
      <c r="E5" s="89" t="n">
        <f aca="false">IFERROR(BALANCO_PATRIMONIAL!D8/BALANCO_PATRIMONIAL!I9,0)</f>
        <v>0</v>
      </c>
      <c r="F5" s="89" t="n">
        <f aca="false">IFERROR(BALANCO_PATRIMONIAL!E8/BALANCO_PATRIMONIAL!J9,0)</f>
        <v>0</v>
      </c>
      <c r="G5" s="90" t="s">
        <v>340</v>
      </c>
      <c r="H5" s="91" t="s">
        <v>341</v>
      </c>
    </row>
    <row r="6" customFormat="false" ht="18" hidden="false" customHeight="true" outlineLevel="0" collapsed="false">
      <c r="B6" s="92" t="s">
        <v>342</v>
      </c>
      <c r="C6" s="93" t="s">
        <v>343</v>
      </c>
      <c r="D6" s="94" t="n">
        <f aca="false">IFERROR(BALANCO_PATRIMONIAL!C8/BALANCO_PATRIMONIAL!H9,0)</f>
        <v>0</v>
      </c>
      <c r="E6" s="94" t="n">
        <f aca="false">IFERROR(BALANCO_PATRIMONIAL!D8/BALANCO_PATRIMONIAL!I9,0)</f>
        <v>0</v>
      </c>
      <c r="F6" s="94" t="n">
        <f aca="false">IFERROR(BALANCO_PATRIMONIAL!E8/BALANCO_PATRIMONIAL!J9,0)</f>
        <v>0</v>
      </c>
      <c r="G6" s="95" t="s">
        <v>344</v>
      </c>
      <c r="H6" s="96" t="s">
        <v>345</v>
      </c>
    </row>
    <row r="7" customFormat="false" ht="18" hidden="false" customHeight="true" outlineLevel="0" collapsed="false">
      <c r="B7" s="87" t="s">
        <v>346</v>
      </c>
      <c r="C7" s="88" t="s">
        <v>347</v>
      </c>
      <c r="D7" s="89" t="n">
        <f aca="false">IFERROR(BALANCO_PATRIMONIAL!C5/BALANCO_PATRIMONIAL!H9,0)</f>
        <v>0</v>
      </c>
      <c r="E7" s="89" t="n">
        <f aca="false">IFERROR(BALANCO_PATRIMONIAL!D5/BALANCO_PATRIMONIAL!I9,0)</f>
        <v>0</v>
      </c>
      <c r="F7" s="89" t="n">
        <f aca="false">IFERROR(BALANCO_PATRIMONIAL!E5/BALANCO_PATRIMONIAL!J9,0)</f>
        <v>0</v>
      </c>
      <c r="G7" s="90" t="s">
        <v>348</v>
      </c>
      <c r="H7" s="91" t="s">
        <v>349</v>
      </c>
    </row>
    <row r="8" customFormat="false" ht="4.5" hidden="false" customHeight="true" outlineLevel="0" collapsed="false"/>
    <row r="9" customFormat="false" ht="21.75" hidden="false" customHeight="true" outlineLevel="0" collapsed="false">
      <c r="B9" s="53" t="s">
        <v>350</v>
      </c>
      <c r="C9" s="53"/>
      <c r="D9" s="53"/>
      <c r="E9" s="53"/>
      <c r="F9" s="53"/>
      <c r="G9" s="53"/>
      <c r="H9" s="53"/>
    </row>
    <row r="10" customFormat="false" ht="18" hidden="false" customHeight="true" outlineLevel="0" collapsed="false">
      <c r="B10" s="92" t="s">
        <v>351</v>
      </c>
      <c r="C10" s="93" t="s">
        <v>352</v>
      </c>
      <c r="D10" s="97" t="n">
        <f aca="false">IFERROR(DRE!C25/DRE!C6,0)</f>
        <v>0</v>
      </c>
      <c r="E10" s="97" t="n">
        <f aca="false">IFERROR(DRE!D25/DRE!D6,0)</f>
        <v>0</v>
      </c>
      <c r="F10" s="97" t="n">
        <f aca="false">IFERROR(DRE!E25/DRE!E6,0)</f>
        <v>0</v>
      </c>
      <c r="G10" s="95" t="s">
        <v>353</v>
      </c>
      <c r="H10" s="96" t="s">
        <v>354</v>
      </c>
    </row>
    <row r="11" customFormat="false" ht="18" hidden="false" customHeight="true" outlineLevel="0" collapsed="false">
      <c r="B11" s="87" t="s">
        <v>355</v>
      </c>
      <c r="C11" s="88" t="s">
        <v>356</v>
      </c>
      <c r="D11" s="98" t="str">
        <f aca="false">IFERROR(DRE!C22/DRE!C8,"–")</f>
        <v>–</v>
      </c>
      <c r="E11" s="98" t="str">
        <f aca="false">IFERROR(DRE!D22/DRE!D8,"–")</f>
        <v>–</v>
      </c>
      <c r="F11" s="98" t="str">
        <f aca="false">IFERROR(DRE!E22/DRE!E8,"–")</f>
        <v>–</v>
      </c>
      <c r="G11" s="90" t="s">
        <v>357</v>
      </c>
      <c r="H11" s="91" t="s">
        <v>358</v>
      </c>
    </row>
    <row r="12" customFormat="false" ht="18" hidden="false" customHeight="true" outlineLevel="0" collapsed="false">
      <c r="B12" s="92" t="s">
        <v>359</v>
      </c>
      <c r="C12" s="93" t="s">
        <v>360</v>
      </c>
      <c r="D12" s="97" t="str">
        <f aca="false">IFERROR(DRE!C26/DRE!C6,"–")</f>
        <v>–</v>
      </c>
      <c r="E12" s="97" t="str">
        <f aca="false">IFERROR(DRE!D26/DRE!D6,"–")</f>
        <v>–</v>
      </c>
      <c r="F12" s="97" t="str">
        <f aca="false">IFERROR(DRE!E26/DRE!E6,"–")</f>
        <v>–</v>
      </c>
      <c r="G12" s="95" t="s">
        <v>361</v>
      </c>
      <c r="H12" s="96" t="s">
        <v>362</v>
      </c>
    </row>
    <row r="13" customFormat="false" ht="18" hidden="false" customHeight="true" outlineLevel="0" collapsed="false">
      <c r="B13" s="87" t="s">
        <v>363</v>
      </c>
      <c r="C13" s="88" t="s">
        <v>364</v>
      </c>
      <c r="D13" s="98" t="n">
        <f aca="false">IFERROR(DRE!C25/BALANCO_PATRIMONIAL!H18,0)</f>
        <v>0</v>
      </c>
      <c r="E13" s="98" t="n">
        <f aca="false">IFERROR(DRE!D25/BALANCO_PATRIMONIAL!I18,0)</f>
        <v>0</v>
      </c>
      <c r="F13" s="98" t="n">
        <f aca="false">IFERROR(DRE!E25/BALANCO_PATRIMONIAL!J18,0)</f>
        <v>0</v>
      </c>
      <c r="G13" s="90" t="s">
        <v>365</v>
      </c>
      <c r="H13" s="91" t="s">
        <v>366</v>
      </c>
    </row>
    <row r="14" customFormat="false" ht="18" hidden="false" customHeight="true" outlineLevel="0" collapsed="false">
      <c r="B14" s="92" t="s">
        <v>367</v>
      </c>
      <c r="C14" s="93" t="s">
        <v>368</v>
      </c>
      <c r="D14" s="97" t="n">
        <f aca="false">IFERROR(DRE!C25/BALANCO_PATRIMONIAL!C16,0)</f>
        <v>0</v>
      </c>
      <c r="E14" s="97" t="n">
        <f aca="false">IFERROR(DRE!D25/BALANCO_PATRIMONIAL!D16,0)</f>
        <v>0</v>
      </c>
      <c r="F14" s="97" t="n">
        <f aca="false">IFERROR(DRE!E25/BALANCO_PATRIMONIAL!E16,0)</f>
        <v>0</v>
      </c>
      <c r="G14" s="95" t="s">
        <v>369</v>
      </c>
      <c r="H14" s="96" t="s">
        <v>370</v>
      </c>
    </row>
    <row r="15" customFormat="false" ht="4.5" hidden="false" customHeight="true" outlineLevel="0" collapsed="false"/>
    <row r="16" customFormat="false" ht="21.75" hidden="false" customHeight="true" outlineLevel="0" collapsed="false">
      <c r="B16" s="53" t="s">
        <v>371</v>
      </c>
      <c r="C16" s="53"/>
      <c r="D16" s="53"/>
      <c r="E16" s="53"/>
      <c r="F16" s="53"/>
      <c r="G16" s="53"/>
      <c r="H16" s="53"/>
    </row>
    <row r="17" customFormat="false" ht="18" hidden="false" customHeight="true" outlineLevel="0" collapsed="false">
      <c r="B17" s="87" t="s">
        <v>372</v>
      </c>
      <c r="C17" s="88" t="s">
        <v>373</v>
      </c>
      <c r="D17" s="98" t="n">
        <f aca="false">IFERROR(BALANCO_PATRIMONIAL!H20/BALANCO_PATRIMONIAL!C16,0)</f>
        <v>0</v>
      </c>
      <c r="E17" s="98" t="n">
        <f aca="false">IFERROR(BALANCO_PATRIMONIAL!I20/BALANCO_PATRIMONIAL!D16,0)</f>
        <v>0</v>
      </c>
      <c r="F17" s="98" t="n">
        <f aca="false">IFERROR(BALANCO_PATRIMONIAL!J20/BALANCO_PATRIMONIAL!E16,0)</f>
        <v>0</v>
      </c>
      <c r="G17" s="90" t="s">
        <v>374</v>
      </c>
      <c r="H17" s="91" t="s">
        <v>375</v>
      </c>
    </row>
    <row r="18" customFormat="false" ht="18" hidden="false" customHeight="true" outlineLevel="0" collapsed="false">
      <c r="B18" s="92" t="s">
        <v>376</v>
      </c>
      <c r="C18" s="93" t="s">
        <v>377</v>
      </c>
      <c r="D18" s="94" t="str">
        <f aca="false">IFERROR(BALANCO_PATRIMONIAL!H17/BALANCO_PATRIMONIAL!H16,"–")</f>
        <v>–</v>
      </c>
      <c r="E18" s="94" t="str">
        <f aca="false">IFERROR(BALANCO_PATRIMONIAL!I17/BALANCO_PATRIMONIAL!I16,"–")</f>
        <v>–</v>
      </c>
      <c r="F18" s="94" t="str">
        <f aca="false">IFERROR(BALANCO_PATRIMONIAL!J17/BALANCO_PATRIMONIAL!J16,"–")</f>
        <v>–</v>
      </c>
      <c r="G18" s="95" t="s">
        <v>378</v>
      </c>
      <c r="H18" s="96" t="s">
        <v>379</v>
      </c>
    </row>
    <row r="19" customFormat="false" ht="4.5" hidden="false" customHeight="true" outlineLevel="0" collapsed="false">
      <c r="D19" s="99" t="n">
        <f aca="false">IFERROR(BALANCO_PATRIMONIAL!H20/BALANCO_PATRIMONIAL!H18,0)</f>
        <v>0</v>
      </c>
      <c r="E19" s="99" t="n">
        <f aca="false">IFERROR(BALANCO_PATRIMONIAL!I20/BALANCO_PATRIMONIAL!I18,0)</f>
        <v>0</v>
      </c>
      <c r="F19" s="99" t="n">
        <f aca="false">IFERROR(BALANCO_PATRIMONIAL!J20/BALANCO_PATRIMONIAL!J18,0)</f>
        <v>0</v>
      </c>
    </row>
    <row r="20" customFormat="false" ht="21.75" hidden="false" customHeight="true" outlineLevel="0" collapsed="false">
      <c r="B20" s="53" t="s">
        <v>380</v>
      </c>
      <c r="C20" s="53"/>
      <c r="D20" s="53"/>
      <c r="E20" s="53"/>
      <c r="F20" s="53"/>
      <c r="G20" s="53"/>
      <c r="H20" s="53"/>
    </row>
    <row r="21" customFormat="false" ht="18" hidden="false" customHeight="true" outlineLevel="0" collapsed="false">
      <c r="B21" s="87" t="s">
        <v>381</v>
      </c>
      <c r="C21" s="88" t="s">
        <v>382</v>
      </c>
      <c r="D21" s="98" t="n">
        <f aca="false">IFERROR(DRE!C8/BALANCO_PATRIMONIAL!C16,0)</f>
        <v>0</v>
      </c>
      <c r="E21" s="98" t="n">
        <f aca="false">IFERROR(DRE!D8/BALANCO_PATRIMONIAL!D16,0)</f>
        <v>0</v>
      </c>
      <c r="F21" s="98" t="n">
        <f aca="false">IFERROR(DRE!E8/BALANCO_PATRIMONIAL!E16,0)</f>
        <v>0</v>
      </c>
      <c r="G21" s="90" t="s">
        <v>348</v>
      </c>
      <c r="H21" s="91" t="s">
        <v>383</v>
      </c>
    </row>
    <row r="22" customFormat="false" ht="18" hidden="false" customHeight="true" outlineLevel="0" collapsed="false">
      <c r="B22" s="92" t="s">
        <v>384</v>
      </c>
      <c r="C22" s="93" t="s">
        <v>385</v>
      </c>
      <c r="D22" s="100" t="n">
        <f aca="false">IFERROR(BALANCO_PATRIMONIAL!C6/DRE!C6*30,0)</f>
        <v>0</v>
      </c>
      <c r="E22" s="100" t="n">
        <f aca="false">IFERROR(BALANCO_PATRIMONIAL!D6/DRE!D6*30,0)</f>
        <v>0</v>
      </c>
      <c r="F22" s="100" t="n">
        <f aca="false">IFERROR(BALANCO_PATRIMONIAL!E6/DRE!E6*30,0)</f>
        <v>0</v>
      </c>
      <c r="G22" s="95" t="s">
        <v>386</v>
      </c>
      <c r="H22" s="96" t="s">
        <v>387</v>
      </c>
    </row>
  </sheetData>
  <mergeCells count="6">
    <mergeCell ref="B1:H1"/>
    <mergeCell ref="B2:H2"/>
    <mergeCell ref="B4:H4"/>
    <mergeCell ref="B9:H9"/>
    <mergeCell ref="B16:H16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5"/>
    <col collapsed="false" customWidth="true" hidden="false" outlineLevel="0" max="5" min="3" style="1" width="12"/>
    <col collapsed="false" customWidth="true" hidden="false" outlineLevel="0" max="7" min="6" style="1" width="14"/>
  </cols>
  <sheetData>
    <row r="1" customFormat="false" ht="25.5" hidden="false" customHeight="true" outlineLevel="0" collapsed="false">
      <c r="B1" s="101" t="s">
        <v>388</v>
      </c>
      <c r="C1" s="101"/>
      <c r="D1" s="101"/>
      <c r="E1" s="101"/>
      <c r="F1" s="101"/>
      <c r="G1" s="101"/>
    </row>
    <row r="2" customFormat="false" ht="15" hidden="false" customHeight="true" outlineLevel="0" collapsed="false">
      <c r="B2" s="70" t="s">
        <v>389</v>
      </c>
      <c r="C2" s="70" t="s">
        <v>390</v>
      </c>
      <c r="D2" s="70" t="s">
        <v>391</v>
      </c>
      <c r="E2" s="70" t="s">
        <v>392</v>
      </c>
      <c r="F2" s="70" t="s">
        <v>393</v>
      </c>
      <c r="G2" s="70" t="s">
        <v>394</v>
      </c>
    </row>
    <row r="3" customFormat="false" ht="21.75" hidden="false" customHeight="true" outlineLevel="0" collapsed="false">
      <c r="B3" s="53" t="s">
        <v>395</v>
      </c>
      <c r="C3" s="53"/>
      <c r="D3" s="53"/>
      <c r="E3" s="53"/>
      <c r="F3" s="53"/>
      <c r="G3" s="53"/>
    </row>
    <row r="4" customFormat="false" ht="15.75" hidden="false" customHeight="true" outlineLevel="0" collapsed="false">
      <c r="B4" s="92" t="s">
        <v>58</v>
      </c>
      <c r="C4" s="102" t="s">
        <v>396</v>
      </c>
      <c r="D4" s="103"/>
      <c r="E4" s="103"/>
      <c r="F4" s="104" t="n">
        <f aca="false">D4-E4</f>
        <v>0</v>
      </c>
      <c r="G4" s="102" t="s">
        <v>397</v>
      </c>
    </row>
    <row r="5" customFormat="false" ht="15.75" hidden="false" customHeight="true" outlineLevel="0" collapsed="false">
      <c r="B5" s="87" t="s">
        <v>60</v>
      </c>
      <c r="C5" s="105" t="s">
        <v>396</v>
      </c>
      <c r="D5" s="103"/>
      <c r="E5" s="103"/>
      <c r="F5" s="106" t="n">
        <f aca="false">D5-E5</f>
        <v>0</v>
      </c>
      <c r="G5" s="105" t="s">
        <v>397</v>
      </c>
    </row>
    <row r="6" customFormat="false" ht="15.75" hidden="false" customHeight="true" outlineLevel="0" collapsed="false">
      <c r="B6" s="92" t="s">
        <v>64</v>
      </c>
      <c r="C6" s="102" t="s">
        <v>396</v>
      </c>
      <c r="D6" s="103"/>
      <c r="E6" s="103"/>
      <c r="F6" s="104" t="n">
        <f aca="false">D6-E6</f>
        <v>0</v>
      </c>
      <c r="G6" s="102" t="s">
        <v>397</v>
      </c>
    </row>
    <row r="7" customFormat="false" ht="15.75" hidden="false" customHeight="true" outlineLevel="0" collapsed="false">
      <c r="B7" s="87" t="s">
        <v>398</v>
      </c>
      <c r="C7" s="105" t="s">
        <v>399</v>
      </c>
      <c r="D7" s="103"/>
      <c r="E7" s="103"/>
      <c r="F7" s="106" t="n">
        <f aca="false">E7-D7</f>
        <v>0</v>
      </c>
      <c r="G7" s="105" t="s">
        <v>400</v>
      </c>
    </row>
    <row r="8" customFormat="false" ht="15.75" hidden="false" customHeight="true" outlineLevel="0" collapsed="false">
      <c r="B8" s="92" t="s">
        <v>73</v>
      </c>
      <c r="C8" s="102" t="s">
        <v>401</v>
      </c>
      <c r="D8" s="103"/>
      <c r="E8" s="103"/>
      <c r="F8" s="104" t="n">
        <f aca="false">E8-D8</f>
        <v>0</v>
      </c>
      <c r="G8" s="102" t="s">
        <v>400</v>
      </c>
    </row>
    <row r="9" customFormat="false" ht="15.75" hidden="false" customHeight="true" outlineLevel="0" collapsed="false">
      <c r="B9" s="87" t="s">
        <v>77</v>
      </c>
      <c r="C9" s="105" t="s">
        <v>401</v>
      </c>
      <c r="D9" s="103"/>
      <c r="E9" s="103"/>
      <c r="F9" s="106" t="n">
        <f aca="false">E9-D9</f>
        <v>0</v>
      </c>
      <c r="G9" s="105" t="s">
        <v>400</v>
      </c>
    </row>
    <row r="10" customFormat="false" ht="15.75" hidden="false" customHeight="true" outlineLevel="0" collapsed="false">
      <c r="B10" s="92" t="s">
        <v>79</v>
      </c>
      <c r="C10" s="102" t="s">
        <v>401</v>
      </c>
      <c r="D10" s="103"/>
      <c r="E10" s="103"/>
      <c r="F10" s="104" t="n">
        <f aca="false">E10-D10</f>
        <v>0</v>
      </c>
      <c r="G10" s="102" t="s">
        <v>400</v>
      </c>
    </row>
    <row r="11" customFormat="false" ht="15.75" hidden="false" customHeight="true" outlineLevel="0" collapsed="false">
      <c r="B11" s="87" t="s">
        <v>87</v>
      </c>
      <c r="C11" s="105" t="s">
        <v>402</v>
      </c>
      <c r="D11" s="103"/>
      <c r="E11" s="103"/>
      <c r="F11" s="106" t="n">
        <f aca="false">E11-D11</f>
        <v>0</v>
      </c>
      <c r="G11" s="105" t="s">
        <v>400</v>
      </c>
    </row>
    <row r="12" customFormat="false" ht="15.75" hidden="false" customHeight="true" outlineLevel="0" collapsed="false">
      <c r="B12" s="92" t="s">
        <v>93</v>
      </c>
      <c r="C12" s="102" t="s">
        <v>403</v>
      </c>
      <c r="D12" s="103"/>
      <c r="E12" s="103"/>
      <c r="F12" s="104" t="n">
        <f aca="false">E12-D12</f>
        <v>0</v>
      </c>
      <c r="G12" s="102" t="s">
        <v>400</v>
      </c>
    </row>
    <row r="13" customFormat="false" ht="15.75" hidden="false" customHeight="true" outlineLevel="0" collapsed="false">
      <c r="B13" s="87" t="s">
        <v>97</v>
      </c>
      <c r="C13" s="105" t="s">
        <v>403</v>
      </c>
      <c r="D13" s="103"/>
      <c r="E13" s="103"/>
      <c r="F13" s="106" t="n">
        <f aca="false">D13-E13</f>
        <v>0</v>
      </c>
      <c r="G13" s="105" t="s">
        <v>397</v>
      </c>
    </row>
    <row r="14" customFormat="false" ht="15.75" hidden="false" customHeight="true" outlineLevel="0" collapsed="false">
      <c r="B14" s="92" t="s">
        <v>101</v>
      </c>
      <c r="C14" s="102" t="s">
        <v>403</v>
      </c>
      <c r="D14" s="103"/>
      <c r="E14" s="103"/>
      <c r="F14" s="104" t="n">
        <f aca="false">D14-E14</f>
        <v>0</v>
      </c>
      <c r="G14" s="102" t="s">
        <v>397</v>
      </c>
    </row>
    <row r="15" customFormat="false" ht="15.75" hidden="false" customHeight="true" outlineLevel="0" collapsed="false">
      <c r="B15" s="87" t="s">
        <v>103</v>
      </c>
      <c r="C15" s="105" t="s">
        <v>403</v>
      </c>
      <c r="D15" s="103"/>
      <c r="E15" s="103"/>
      <c r="F15" s="106" t="n">
        <f aca="false">D15-E15</f>
        <v>0</v>
      </c>
      <c r="G15" s="105" t="s">
        <v>397</v>
      </c>
    </row>
    <row r="16" customFormat="false" ht="15.75" hidden="false" customHeight="true" outlineLevel="0" collapsed="false">
      <c r="B16" s="92" t="s">
        <v>105</v>
      </c>
      <c r="C16" s="102" t="s">
        <v>403</v>
      </c>
      <c r="D16" s="103"/>
      <c r="E16" s="103"/>
      <c r="F16" s="104" t="n">
        <f aca="false">D16-E16</f>
        <v>0</v>
      </c>
      <c r="G16" s="102" t="s">
        <v>397</v>
      </c>
    </row>
    <row r="17" customFormat="false" ht="15.75" hidden="false" customHeight="true" outlineLevel="0" collapsed="false">
      <c r="B17" s="87" t="s">
        <v>107</v>
      </c>
      <c r="C17" s="105" t="s">
        <v>403</v>
      </c>
      <c r="D17" s="103"/>
      <c r="E17" s="103"/>
      <c r="F17" s="106" t="n">
        <f aca="false">D17-E17</f>
        <v>0</v>
      </c>
      <c r="G17" s="105" t="s">
        <v>397</v>
      </c>
    </row>
    <row r="18" customFormat="false" ht="15.75" hidden="false" customHeight="true" outlineLevel="0" collapsed="false">
      <c r="B18" s="92" t="s">
        <v>109</v>
      </c>
      <c r="C18" s="102" t="s">
        <v>403</v>
      </c>
      <c r="D18" s="103"/>
      <c r="E18" s="103"/>
      <c r="F18" s="104" t="n">
        <f aca="false">D18-E18</f>
        <v>0</v>
      </c>
      <c r="G18" s="102" t="s">
        <v>397</v>
      </c>
    </row>
    <row r="19" customFormat="false" ht="15.75" hidden="false" customHeight="true" outlineLevel="0" collapsed="false">
      <c r="B19" s="87" t="s">
        <v>111</v>
      </c>
      <c r="C19" s="105" t="s">
        <v>403</v>
      </c>
      <c r="D19" s="103"/>
      <c r="E19" s="103"/>
      <c r="F19" s="106" t="n">
        <f aca="false">D19-E19</f>
        <v>0</v>
      </c>
      <c r="G19" s="105" t="s">
        <v>397</v>
      </c>
    </row>
    <row r="20" customFormat="false" ht="15.75" hidden="false" customHeight="true" outlineLevel="0" collapsed="false">
      <c r="B20" s="92" t="s">
        <v>118</v>
      </c>
      <c r="C20" s="102" t="s">
        <v>403</v>
      </c>
      <c r="D20" s="103"/>
      <c r="E20" s="103"/>
      <c r="F20" s="104" t="n">
        <f aca="false">D20-E20</f>
        <v>0</v>
      </c>
      <c r="G20" s="102" t="s">
        <v>397</v>
      </c>
    </row>
    <row r="21" customFormat="false" ht="15.75" hidden="false" customHeight="true" outlineLevel="0" collapsed="false">
      <c r="B21" s="87" t="s">
        <v>115</v>
      </c>
      <c r="C21" s="105" t="s">
        <v>403</v>
      </c>
      <c r="D21" s="103"/>
      <c r="E21" s="103"/>
      <c r="F21" s="106" t="n">
        <f aca="false">D21-E21</f>
        <v>0</v>
      </c>
      <c r="G21" s="105" t="s">
        <v>397</v>
      </c>
    </row>
    <row r="22" customFormat="false" ht="15.75" hidden="false" customHeight="true" outlineLevel="0" collapsed="false">
      <c r="B22" s="92" t="s">
        <v>113</v>
      </c>
      <c r="C22" s="102" t="s">
        <v>403</v>
      </c>
      <c r="D22" s="103"/>
      <c r="E22" s="103"/>
      <c r="F22" s="104" t="n">
        <f aca="false">D22-E22</f>
        <v>0</v>
      </c>
      <c r="G22" s="102" t="s">
        <v>397</v>
      </c>
    </row>
    <row r="24" customFormat="false" ht="21.75" hidden="false" customHeight="true" outlineLevel="0" collapsed="false">
      <c r="B24" s="107" t="s">
        <v>404</v>
      </c>
      <c r="C24" s="107"/>
      <c r="D24" s="107"/>
      <c r="E24" s="107"/>
      <c r="F24" s="107"/>
      <c r="G24" s="107"/>
    </row>
    <row r="25" customFormat="false" ht="19.5" hidden="false" customHeight="true" outlineLevel="0" collapsed="false">
      <c r="B25" s="108" t="s">
        <v>405</v>
      </c>
      <c r="C25" s="108"/>
      <c r="D25" s="109" t="n">
        <f aca="false">SUM(D4:D23)</f>
        <v>0</v>
      </c>
      <c r="E25" s="109" t="n">
        <f aca="false">SUM(E4:E23)</f>
        <v>0</v>
      </c>
    </row>
    <row r="26" customFormat="false" ht="15.75" hidden="false" customHeight="true" outlineLevel="0" collapsed="false">
      <c r="B26" s="110" t="s">
        <v>406</v>
      </c>
      <c r="C26" s="110"/>
      <c r="D26" s="110"/>
      <c r="E26" s="110"/>
    </row>
  </sheetData>
  <mergeCells count="5">
    <mergeCell ref="B1:G1"/>
    <mergeCell ref="B3:G3"/>
    <mergeCell ref="B24:G24"/>
    <mergeCell ref="B25:C25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16"/>
    <col collapsed="false" customWidth="true" hidden="false" outlineLevel="0" max="6" min="6" style="1" width="3"/>
    <col collapsed="false" customWidth="true" hidden="false" outlineLevel="0" max="7" min="7" style="1" width="30"/>
    <col collapsed="false" customWidth="true" hidden="false" outlineLevel="0" max="8" min="8" style="1" width="16"/>
  </cols>
  <sheetData>
    <row r="1" customFormat="false" ht="27.75" hidden="false" customHeight="true" outlineLevel="0" collapsed="false">
      <c r="B1" s="20" t="s">
        <v>407</v>
      </c>
      <c r="C1" s="20"/>
      <c r="D1" s="20"/>
      <c r="E1" s="20"/>
      <c r="F1" s="20"/>
      <c r="G1" s="20"/>
      <c r="H1" s="20"/>
    </row>
    <row r="2" customFormat="false" ht="21.75" hidden="false" customHeight="true" outlineLevel="0" collapsed="false">
      <c r="B2" s="73" t="s">
        <v>408</v>
      </c>
      <c r="C2" s="73"/>
      <c r="D2" s="73"/>
      <c r="E2" s="73"/>
    </row>
    <row r="3" customFormat="false" ht="15" hidden="false" customHeight="true" outlineLevel="0" collapsed="false">
      <c r="B3" s="70" t="s">
        <v>409</v>
      </c>
      <c r="C3" s="70" t="s">
        <v>279</v>
      </c>
      <c r="D3" s="70" t="s">
        <v>306</v>
      </c>
      <c r="E3" s="70" t="s">
        <v>307</v>
      </c>
    </row>
    <row r="4" customFormat="false" ht="18" hidden="false" customHeight="true" outlineLevel="0" collapsed="false">
      <c r="B4" s="92" t="s">
        <v>410</v>
      </c>
      <c r="C4" s="111" t="n">
        <f aca="false">IFERROR(DRE!C6,"–")</f>
        <v>0</v>
      </c>
      <c r="D4" s="111" t="n">
        <f aca="false">IFERROR(DRE!D6,"–")</f>
        <v>0</v>
      </c>
      <c r="E4" s="111" t="n">
        <f aca="false">IFERROR(DRE!E6,"–")</f>
        <v>0</v>
      </c>
    </row>
    <row r="5" customFormat="false" ht="18" hidden="false" customHeight="true" outlineLevel="0" collapsed="false">
      <c r="B5" s="87" t="s">
        <v>411</v>
      </c>
      <c r="C5" s="112" t="n">
        <f aca="false">IFERROR(DRE!C8,"–")</f>
        <v>0</v>
      </c>
      <c r="D5" s="112" t="n">
        <f aca="false">IFERROR(DRE!D8,"–")</f>
        <v>0</v>
      </c>
      <c r="E5" s="112" t="n">
        <f aca="false">IFERROR(DRE!E8,"–")</f>
        <v>0</v>
      </c>
    </row>
    <row r="6" customFormat="false" ht="18" hidden="false" customHeight="true" outlineLevel="0" collapsed="false">
      <c r="B6" s="92" t="s">
        <v>412</v>
      </c>
      <c r="C6" s="111" t="n">
        <f aca="false">IFERROR(DRE!C20,"–")</f>
        <v>0</v>
      </c>
      <c r="D6" s="111" t="n">
        <f aca="false">IFERROR(DRE!D20,"–")</f>
        <v>0</v>
      </c>
      <c r="E6" s="111" t="n">
        <f aca="false">IFERROR(DRE!E20,"–")</f>
        <v>0</v>
      </c>
    </row>
    <row r="7" customFormat="false" ht="18" hidden="false" customHeight="true" outlineLevel="0" collapsed="false">
      <c r="B7" s="87" t="s">
        <v>413</v>
      </c>
      <c r="C7" s="112" t="n">
        <f aca="false">IFERROR(DRE!C26,"–")</f>
        <v>0</v>
      </c>
      <c r="D7" s="112" t="n">
        <f aca="false">IFERROR(DRE!D26,"–")</f>
        <v>0</v>
      </c>
      <c r="E7" s="112" t="n">
        <f aca="false">IFERROR(DRE!E26,"–")</f>
        <v>0</v>
      </c>
    </row>
    <row r="8" customFormat="false" ht="18" hidden="false" customHeight="true" outlineLevel="0" collapsed="false">
      <c r="B8" s="92" t="s">
        <v>414</v>
      </c>
      <c r="C8" s="113" t="n">
        <f aca="false">IFERROR(INDICES_FINANCEIROS!D10,"–")</f>
        <v>0</v>
      </c>
      <c r="D8" s="113" t="n">
        <f aca="false">IFERROR(INDICES_FINANCEIROS!E10,"–")</f>
        <v>0</v>
      </c>
      <c r="E8" s="113" t="n">
        <f aca="false">IFERROR(INDICES_FINANCEIROS!F10,"–")</f>
        <v>0</v>
      </c>
    </row>
    <row r="9" customFormat="false" ht="18" hidden="false" customHeight="true" outlineLevel="0" collapsed="false">
      <c r="B9" s="87" t="s">
        <v>338</v>
      </c>
      <c r="C9" s="114" t="n">
        <f aca="false">IFERROR(INDICES_FINANCEIROS!D5,"–")</f>
        <v>0</v>
      </c>
      <c r="D9" s="114" t="n">
        <f aca="false">IFERROR(INDICES_FINANCEIROS!E5,"–")</f>
        <v>0</v>
      </c>
      <c r="E9" s="114" t="n">
        <f aca="false">IFERROR(INDICES_FINANCEIROS!F5,"–")</f>
        <v>0</v>
      </c>
    </row>
    <row r="10" customFormat="false" ht="18" hidden="false" customHeight="true" outlineLevel="0" collapsed="false">
      <c r="B10" s="92" t="s">
        <v>415</v>
      </c>
      <c r="C10" s="113" t="n">
        <f aca="false">IFERROR(INDICES_FINANCEIROS!D13,"–")</f>
        <v>0</v>
      </c>
      <c r="D10" s="113" t="n">
        <f aca="false">IFERROR(INDICES_FINANCEIROS!E13,"–")</f>
        <v>0</v>
      </c>
      <c r="E10" s="113" t="n">
        <f aca="false">IFERROR(INDICES_FINANCEIROS!F13,"–")</f>
        <v>0</v>
      </c>
    </row>
    <row r="11" customFormat="false" ht="18" hidden="false" customHeight="true" outlineLevel="0" collapsed="false">
      <c r="B11" s="87" t="s">
        <v>416</v>
      </c>
      <c r="C11" s="115" t="str">
        <f aca="false">IFERROR(INDICES_FINANCEIROS!D18,"–")</f>
        <v>–</v>
      </c>
      <c r="D11" s="115" t="str">
        <f aca="false">IFERROR(INDICES_FINANCEIROS!E18,"–")</f>
        <v>–</v>
      </c>
      <c r="E11" s="115" t="str">
        <f aca="false">IFERROR(INDICES_FINANCEIROS!F18,"–")</f>
        <v>–</v>
      </c>
    </row>
    <row r="12" customFormat="false" ht="18" hidden="false" customHeight="true" outlineLevel="0" collapsed="false">
      <c r="B12" s="92" t="s">
        <v>417</v>
      </c>
      <c r="C12" s="116" t="n">
        <f aca="false">IFERROR(INDICES_FINANCEIROS!D22,"–")</f>
        <v>0</v>
      </c>
      <c r="D12" s="116" t="n">
        <f aca="false">IFERROR(INDICES_FINANCEIROS!E22,"–")</f>
        <v>0</v>
      </c>
      <c r="E12" s="116" t="n">
        <f aca="false">IFERROR(INDICES_FINANCEIROS!F22,"–")</f>
        <v>0</v>
      </c>
    </row>
    <row r="14" customFormat="false" ht="21.75" hidden="false" customHeight="true" outlineLevel="0" collapsed="false">
      <c r="B14" s="73" t="s">
        <v>418</v>
      </c>
      <c r="C14" s="73"/>
      <c r="D14" s="73"/>
      <c r="E14" s="73"/>
    </row>
    <row r="15" customFormat="false" ht="15" hidden="false" customHeight="true" outlineLevel="0" collapsed="false">
      <c r="B15" s="70" t="s">
        <v>409</v>
      </c>
      <c r="C15" s="70" t="s">
        <v>419</v>
      </c>
      <c r="D15" s="70" t="s">
        <v>420</v>
      </c>
      <c r="E15" s="70" t="s">
        <v>421</v>
      </c>
    </row>
    <row r="16" customFormat="false" ht="18" hidden="false" customHeight="true" outlineLevel="0" collapsed="false">
      <c r="B16" s="92" t="s">
        <v>422</v>
      </c>
      <c r="C16" s="117" t="n">
        <f aca="false">IFERROR((D4-C4)/ABS(C4),0)</f>
        <v>0</v>
      </c>
      <c r="D16" s="117" t="n">
        <f aca="false">IFERROR((E4-D4)/ABS(D4),0)</f>
        <v>0</v>
      </c>
      <c r="E16" s="117" t="n">
        <f aca="false">IFERROR((E4-C4)/ABS(C4),0)</f>
        <v>0</v>
      </c>
    </row>
    <row r="17" customFormat="false" ht="18" hidden="false" customHeight="true" outlineLevel="0" collapsed="false">
      <c r="B17" s="87" t="s">
        <v>423</v>
      </c>
      <c r="C17" s="118" t="n">
        <f aca="false">IFERROR((D5-C5)/ABS(C5),0)</f>
        <v>0</v>
      </c>
      <c r="D17" s="118" t="n">
        <f aca="false">IFERROR((E5-D5)/ABS(D5),0)</f>
        <v>0</v>
      </c>
      <c r="E17" s="118" t="n">
        <f aca="false">IFERROR((E5-C5)/ABS(C5),0)</f>
        <v>0</v>
      </c>
    </row>
    <row r="18" customFormat="false" ht="18" hidden="false" customHeight="true" outlineLevel="0" collapsed="false">
      <c r="B18" s="92" t="s">
        <v>424</v>
      </c>
      <c r="C18" s="117" t="n">
        <f aca="false">IFERROR((D6-C6)/ABS(C6),0)</f>
        <v>0</v>
      </c>
      <c r="D18" s="117" t="n">
        <f aca="false">IFERROR((E6-D6)/ABS(D6),0)</f>
        <v>0</v>
      </c>
      <c r="E18" s="117" t="n">
        <f aca="false">IFERROR((E6-C6)/ABS(C6),0)</f>
        <v>0</v>
      </c>
    </row>
    <row r="19" customFormat="false" ht="18" hidden="false" customHeight="true" outlineLevel="0" collapsed="false">
      <c r="B19" s="87" t="s">
        <v>425</v>
      </c>
      <c r="C19" s="118" t="n">
        <f aca="false">IFERROR((D7-C7)/ABS(C7),0)</f>
        <v>0</v>
      </c>
      <c r="D19" s="118" t="n">
        <f aca="false">IFERROR((E7-D7)/ABS(D7),0)</f>
        <v>0</v>
      </c>
      <c r="E19" s="118" t="n">
        <f aca="false">IFERROR((E7-C7)/ABS(C7),0)</f>
        <v>0</v>
      </c>
    </row>
    <row r="20" customFormat="false" ht="18" hidden="false" customHeight="true" outlineLevel="0" collapsed="false">
      <c r="B20" s="92" t="s">
        <v>359</v>
      </c>
      <c r="C20" s="117" t="n">
        <f aca="false">IFERROR((D8-C8)/ABS(C8),0)</f>
        <v>0</v>
      </c>
      <c r="D20" s="117" t="n">
        <f aca="false">IFERROR((E8-D8)/ABS(D8),0)</f>
        <v>0</v>
      </c>
      <c r="E20" s="117" t="n">
        <f aca="false">IFERROR((E8-C8)/ABS(C8),0)</f>
        <v>0</v>
      </c>
    </row>
    <row r="21" customFormat="false" ht="15" hidden="false" customHeight="true" outlineLevel="0" collapsed="false">
      <c r="C21" s="119" t="n">
        <f aca="false">IFERROR((D9-C9)/ABS(C9),0)</f>
        <v>0</v>
      </c>
      <c r="D21" s="119" t="n">
        <f aca="false">IFERROR((E9-D9)/ABS(D9),0)</f>
        <v>0</v>
      </c>
      <c r="E21" s="119" t="n">
        <f aca="false">IFERROR((E9-C9)/ABS(C9),0)</f>
        <v>0</v>
      </c>
    </row>
    <row r="23" customFormat="false" ht="21.75" hidden="false" customHeight="true" outlineLevel="0" collapsed="false">
      <c r="B23" s="120" t="s">
        <v>426</v>
      </c>
      <c r="C23" s="120"/>
      <c r="D23" s="120"/>
      <c r="E23" s="120"/>
      <c r="F23" s="120"/>
      <c r="G23" s="120"/>
      <c r="H23" s="120"/>
    </row>
    <row r="24" customFormat="false" ht="39.75" hidden="false" customHeight="true" outlineLevel="0" collapsed="false">
      <c r="B24" s="121" t="s">
        <v>427</v>
      </c>
      <c r="C24" s="121"/>
      <c r="D24" s="121"/>
      <c r="E24" s="121"/>
      <c r="F24" s="121"/>
      <c r="G24" s="121"/>
      <c r="H24" s="121"/>
    </row>
    <row r="25" customFormat="false" ht="15" hidden="false" customHeight="true" outlineLevel="0" collapsed="false">
      <c r="B25" s="121"/>
      <c r="C25" s="121"/>
      <c r="D25" s="121"/>
      <c r="E25" s="121"/>
      <c r="F25" s="121"/>
      <c r="G25" s="121"/>
      <c r="H25" s="121"/>
    </row>
    <row r="26" customFormat="false" ht="39.75" hidden="false" customHeight="true" outlineLevel="0" collapsed="false">
      <c r="B26" s="122" t="s">
        <v>428</v>
      </c>
      <c r="C26" s="122"/>
      <c r="D26" s="122"/>
      <c r="E26" s="122"/>
      <c r="F26" s="122"/>
      <c r="G26" s="122"/>
      <c r="H26" s="122"/>
    </row>
    <row r="27" customFormat="false" ht="15" hidden="false" customHeight="true" outlineLevel="0" collapsed="false">
      <c r="B27" s="122"/>
      <c r="C27" s="122"/>
      <c r="D27" s="122"/>
      <c r="E27" s="122"/>
      <c r="F27" s="122"/>
      <c r="G27" s="122"/>
      <c r="H27" s="122"/>
    </row>
  </sheetData>
  <mergeCells count="6">
    <mergeCell ref="B1:H1"/>
    <mergeCell ref="B2:E2"/>
    <mergeCell ref="B14:E14"/>
    <mergeCell ref="B23:H23"/>
    <mergeCell ref="B24:H25"/>
    <mergeCell ref="B26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2026-06-08T20:39:54Z</dcterms:created>
  <dc:creator>openpyxl</dc:creator>
  <dc:description/>
  <dc:language>en-US</dc:language>
  <cp:lastModifiedBy/>
  <dcterms:modified xsi:type="dcterms:W3CDTF">2026-06-08T20:59:52Z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